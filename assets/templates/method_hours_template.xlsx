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traye\Downloads\"/>
    </mc:Choice>
  </mc:AlternateContent>
  <xr:revisionPtr revIDLastSave="0" documentId="13_ncr:1_{34E47C12-20C5-4DDF-8DC2-00582989990B}" xr6:coauthVersionLast="47" xr6:coauthVersionMax="47" xr10:uidLastSave="{00000000-0000-0000-0000-000000000000}"/>
  <bookViews>
    <workbookView xWindow="760" yWindow="760" windowWidth="21350" windowHeight="14830" firstSheet="1" activeTab="1" xr2:uid="{150C21A3-AEBC-4148-9C41-9B3F0234622B}"/>
  </bookViews>
  <sheets>
    <sheet name="Sheet1" sheetId="20" state="hidden" r:id="rId1"/>
    <sheet name="Jan" sheetId="7" r:id="rId2"/>
    <sheet name="Feb" sheetId="32" r:id="rId3"/>
    <sheet name="Mar" sheetId="33" r:id="rId4"/>
    <sheet name="Apr" sheetId="34" r:id="rId5"/>
    <sheet name="May" sheetId="35" r:id="rId6"/>
    <sheet name="Jun" sheetId="36" r:id="rId7"/>
    <sheet name="Jul" sheetId="37" r:id="rId8"/>
    <sheet name="Aug" sheetId="38" r:id="rId9"/>
    <sheet name="Sep" sheetId="39" r:id="rId10"/>
    <sheet name="Oct" sheetId="40" r:id="rId11"/>
    <sheet name="Nov" sheetId="41" r:id="rId12"/>
    <sheet name="Dec" sheetId="42" r:id="rId13"/>
    <sheet name="Annual Summary" sheetId="19" r:id="rId14"/>
  </sheets>
  <definedNames>
    <definedName name="_xlnm.Print_Area" localSheetId="13">'Annual Summary'!$A$1:$I$26</definedName>
    <definedName name="_xlnm.Print_Area" localSheetId="4">Apr!$A$1:$J$60</definedName>
    <definedName name="_xlnm.Print_Area" localSheetId="8">Aug!$A$1:$J$61</definedName>
    <definedName name="_xlnm.Print_Area" localSheetId="12">Dec!$A$1:$J$61</definedName>
    <definedName name="_xlnm.Print_Area" localSheetId="2">Feb!$A$1:$J$59</definedName>
    <definedName name="_xlnm.Print_Area" localSheetId="1">Jan!$A$1:$J$61</definedName>
    <definedName name="_xlnm.Print_Area" localSheetId="7">Jul!$A$1:$J$61</definedName>
    <definedName name="_xlnm.Print_Area" localSheetId="6">Jun!$A$1:$J$60</definedName>
    <definedName name="_xlnm.Print_Area" localSheetId="3">Mar!$A$1:$J$61</definedName>
    <definedName name="_xlnm.Print_Area" localSheetId="5">May!$A$1:$J$61</definedName>
    <definedName name="_xlnm.Print_Area" localSheetId="11">Nov!$A$1:$J$60</definedName>
    <definedName name="_xlnm.Print_Area" localSheetId="10">Oct!$A$1:$J$61</definedName>
    <definedName name="_xlnm.Print_Area" localSheetId="9">Sep!$A$1:$J$60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7" l="1" a="1"/>
  <c r="A7" i="7" s="1"/>
  <c r="F4" i="42"/>
  <c r="A7" i="42" s="1" a="1"/>
  <c r="A7" i="42" s="1"/>
  <c r="F4" i="41"/>
  <c r="A7" i="41" s="1" a="1"/>
  <c r="A7" i="41" s="1"/>
  <c r="F4" i="40"/>
  <c r="A7" i="40" s="1" a="1"/>
  <c r="A7" i="40" s="1"/>
  <c r="F4" i="39"/>
  <c r="B39" i="39" s="1"/>
  <c r="F4" i="38"/>
  <c r="B40" i="38" s="1"/>
  <c r="F4" i="37"/>
  <c r="B40" i="37" s="1"/>
  <c r="F4" i="36"/>
  <c r="A7" i="36" s="1" a="1"/>
  <c r="A7" i="36" s="1"/>
  <c r="F4" i="35"/>
  <c r="B40" i="35" s="1"/>
  <c r="F4" i="34"/>
  <c r="B39" i="34" s="1"/>
  <c r="F4" i="33"/>
  <c r="B40" i="33" s="1"/>
  <c r="F4" i="32"/>
  <c r="A7" i="32" s="1" a="1"/>
  <c r="A7" i="32" s="1"/>
  <c r="E3" i="19"/>
  <c r="B20" i="19" s="1"/>
  <c r="B4" i="42"/>
  <c r="B4" i="41"/>
  <c r="B4" i="40"/>
  <c r="B4" i="39"/>
  <c r="B4" i="38"/>
  <c r="B4" i="37"/>
  <c r="B4" i="36"/>
  <c r="B4" i="35"/>
  <c r="B4" i="34"/>
  <c r="B4" i="33"/>
  <c r="B4" i="32"/>
  <c r="B4" i="19"/>
  <c r="AA2" i="42" a="1"/>
  <c r="AA2" i="42"/>
  <c r="AA2" i="41" a="1"/>
  <c r="AA2" i="41"/>
  <c r="AA2" i="40" a="1"/>
  <c r="AA2" i="40"/>
  <c r="AA2" i="39" a="1"/>
  <c r="AA2" i="39"/>
  <c r="AA2" i="38" a="1"/>
  <c r="AA2" i="38"/>
  <c r="AA2" i="37" a="1"/>
  <c r="AA2" i="37"/>
  <c r="AA2" i="36" a="1"/>
  <c r="AA2" i="36"/>
  <c r="AA2" i="35" a="1"/>
  <c r="AA2" i="35"/>
  <c r="AA2" i="34" a="1"/>
  <c r="AA2" i="34"/>
  <c r="AA2" i="33" a="1"/>
  <c r="AA2" i="33"/>
  <c r="AA2" i="32" a="1"/>
  <c r="AA2" i="32"/>
  <c r="AA2" i="7" a="1"/>
  <c r="AA2" i="7"/>
  <c r="D38" i="32"/>
  <c r="D8" i="19"/>
  <c r="E38" i="32"/>
  <c r="E8" i="19"/>
  <c r="F38" i="32"/>
  <c r="F8" i="19"/>
  <c r="G38" i="32"/>
  <c r="G8" i="19"/>
  <c r="H38" i="32"/>
  <c r="H8" i="19"/>
  <c r="I38" i="32"/>
  <c r="I8" i="19"/>
  <c r="D40" i="33"/>
  <c r="D9" i="19"/>
  <c r="E40" i="33"/>
  <c r="E9" i="19"/>
  <c r="F40" i="33"/>
  <c r="F9" i="19"/>
  <c r="G40" i="33"/>
  <c r="G9" i="19"/>
  <c r="H40" i="33"/>
  <c r="H9" i="19"/>
  <c r="I40" i="33"/>
  <c r="I9" i="19"/>
  <c r="D39" i="34"/>
  <c r="D10" i="19"/>
  <c r="E39" i="34"/>
  <c r="E10" i="19"/>
  <c r="F39" i="34"/>
  <c r="F10" i="19"/>
  <c r="G39" i="34"/>
  <c r="G10" i="19"/>
  <c r="H39" i="34"/>
  <c r="H10" i="19"/>
  <c r="I39" i="34"/>
  <c r="I10" i="19"/>
  <c r="D40" i="35"/>
  <c r="D11" i="19"/>
  <c r="E40" i="35"/>
  <c r="E11" i="19"/>
  <c r="F40" i="35"/>
  <c r="F11" i="19"/>
  <c r="G40" i="35"/>
  <c r="G11" i="19"/>
  <c r="H40" i="35"/>
  <c r="H11" i="19"/>
  <c r="I40" i="35"/>
  <c r="I11" i="19"/>
  <c r="D39" i="36"/>
  <c r="D12" i="19"/>
  <c r="E39" i="36"/>
  <c r="E12" i="19"/>
  <c r="F39" i="36"/>
  <c r="F12" i="19"/>
  <c r="G39" i="36"/>
  <c r="G12" i="19"/>
  <c r="H39" i="36"/>
  <c r="H12" i="19"/>
  <c r="I39" i="36"/>
  <c r="I12" i="19"/>
  <c r="D40" i="37"/>
  <c r="D13" i="19"/>
  <c r="E40" i="37"/>
  <c r="E13" i="19"/>
  <c r="F40" i="37"/>
  <c r="F13" i="19"/>
  <c r="G40" i="37"/>
  <c r="G13" i="19"/>
  <c r="H40" i="37"/>
  <c r="H13" i="19"/>
  <c r="I40" i="37"/>
  <c r="I13" i="19"/>
  <c r="D40" i="38"/>
  <c r="D14" i="19"/>
  <c r="E40" i="38"/>
  <c r="E14" i="19"/>
  <c r="F40" i="38"/>
  <c r="F14" i="19"/>
  <c r="G40" i="38"/>
  <c r="G14" i="19"/>
  <c r="H40" i="38"/>
  <c r="H14" i="19"/>
  <c r="I40" i="38"/>
  <c r="I14" i="19"/>
  <c r="D39" i="39"/>
  <c r="D15" i="19"/>
  <c r="E39" i="39"/>
  <c r="E15" i="19"/>
  <c r="F39" i="39"/>
  <c r="F15" i="19"/>
  <c r="G39" i="39"/>
  <c r="G15" i="19"/>
  <c r="H39" i="39"/>
  <c r="H15" i="19"/>
  <c r="I39" i="39"/>
  <c r="I15" i="19"/>
  <c r="D40" i="40"/>
  <c r="D16" i="19"/>
  <c r="E40" i="40"/>
  <c r="E16" i="19"/>
  <c r="F40" i="40"/>
  <c r="F16" i="19"/>
  <c r="G40" i="40"/>
  <c r="G16" i="19"/>
  <c r="H40" i="40"/>
  <c r="H16" i="19"/>
  <c r="I40" i="40"/>
  <c r="I16" i="19"/>
  <c r="D39" i="41"/>
  <c r="D17" i="19"/>
  <c r="E39" i="41"/>
  <c r="E17" i="19"/>
  <c r="F39" i="41"/>
  <c r="F17" i="19"/>
  <c r="G39" i="41"/>
  <c r="G17" i="19"/>
  <c r="H39" i="41"/>
  <c r="H17" i="19"/>
  <c r="I39" i="41"/>
  <c r="I17" i="19"/>
  <c r="D40" i="42"/>
  <c r="D18" i="19"/>
  <c r="E40" i="42"/>
  <c r="E18" i="19"/>
  <c r="F40" i="42"/>
  <c r="F18" i="19"/>
  <c r="G40" i="42"/>
  <c r="G18" i="19"/>
  <c r="H40" i="42"/>
  <c r="H18" i="19"/>
  <c r="I40" i="42"/>
  <c r="I18" i="19"/>
  <c r="C40" i="42"/>
  <c r="C18" i="19"/>
  <c r="C39" i="41"/>
  <c r="C17" i="19"/>
  <c r="C40" i="40"/>
  <c r="C16" i="19"/>
  <c r="C39" i="39"/>
  <c r="C15" i="19"/>
  <c r="C40" i="38"/>
  <c r="C14" i="19"/>
  <c r="C40" i="37"/>
  <c r="C13" i="19"/>
  <c r="C39" i="36"/>
  <c r="C12" i="19"/>
  <c r="C40" i="35"/>
  <c r="C11" i="19"/>
  <c r="C39" i="34"/>
  <c r="C10" i="19"/>
  <c r="C40" i="33"/>
  <c r="C9" i="19"/>
  <c r="C38" i="32"/>
  <c r="C8" i="19"/>
  <c r="AB2" i="42"/>
  <c r="F57" i="42"/>
  <c r="F59" i="42"/>
  <c r="A57" i="42"/>
  <c r="A59" i="42"/>
  <c r="F58" i="42"/>
  <c r="A58" i="42"/>
  <c r="F56" i="42"/>
  <c r="A56" i="42"/>
  <c r="F51" i="42"/>
  <c r="F53" i="42"/>
  <c r="A51" i="42"/>
  <c r="A53" i="42"/>
  <c r="F52" i="42"/>
  <c r="A52" i="42"/>
  <c r="F50" i="42"/>
  <c r="A50" i="42"/>
  <c r="I47" i="42"/>
  <c r="H47" i="42"/>
  <c r="G47" i="42"/>
  <c r="F45" i="42"/>
  <c r="F47" i="42"/>
  <c r="A45" i="42"/>
  <c r="A47" i="42"/>
  <c r="I46" i="42"/>
  <c r="H46" i="42"/>
  <c r="G46" i="42"/>
  <c r="F46" i="42"/>
  <c r="A46" i="42"/>
  <c r="I44" i="42"/>
  <c r="H44" i="42"/>
  <c r="G44" i="42"/>
  <c r="F44" i="42"/>
  <c r="A44" i="42"/>
  <c r="B40" i="42"/>
  <c r="AB2" i="41"/>
  <c r="F56" i="41"/>
  <c r="F58" i="41"/>
  <c r="A56" i="41"/>
  <c r="A58" i="41"/>
  <c r="F57" i="41"/>
  <c r="A57" i="41"/>
  <c r="F55" i="41"/>
  <c r="A55" i="41"/>
  <c r="F50" i="41"/>
  <c r="F52" i="41"/>
  <c r="A50" i="41"/>
  <c r="A52" i="41"/>
  <c r="F51" i="41"/>
  <c r="A51" i="41"/>
  <c r="F49" i="41"/>
  <c r="A49" i="41"/>
  <c r="I46" i="41"/>
  <c r="H46" i="41"/>
  <c r="G46" i="41"/>
  <c r="F44" i="41"/>
  <c r="F46" i="41"/>
  <c r="A44" i="41"/>
  <c r="A46" i="41"/>
  <c r="I45" i="41"/>
  <c r="H45" i="41"/>
  <c r="G45" i="41"/>
  <c r="F45" i="41"/>
  <c r="A45" i="41"/>
  <c r="I43" i="41"/>
  <c r="H43" i="41"/>
  <c r="G43" i="41"/>
  <c r="F43" i="41"/>
  <c r="A43" i="41"/>
  <c r="AB2" i="40"/>
  <c r="F57" i="40"/>
  <c r="F59" i="40"/>
  <c r="A57" i="40"/>
  <c r="A59" i="40"/>
  <c r="F58" i="40"/>
  <c r="A58" i="40"/>
  <c r="F56" i="40"/>
  <c r="A56" i="40"/>
  <c r="F51" i="40"/>
  <c r="F53" i="40"/>
  <c r="A51" i="40"/>
  <c r="A53" i="40"/>
  <c r="F52" i="40"/>
  <c r="A52" i="40"/>
  <c r="F50" i="40"/>
  <c r="A50" i="40"/>
  <c r="I47" i="40"/>
  <c r="H47" i="40"/>
  <c r="G47" i="40"/>
  <c r="F45" i="40"/>
  <c r="F47" i="40"/>
  <c r="A45" i="40"/>
  <c r="A47" i="40"/>
  <c r="I46" i="40"/>
  <c r="H46" i="40"/>
  <c r="G46" i="40"/>
  <c r="F46" i="40"/>
  <c r="A46" i="40"/>
  <c r="I44" i="40"/>
  <c r="H44" i="40"/>
  <c r="G44" i="40"/>
  <c r="F44" i="40"/>
  <c r="A44" i="40"/>
  <c r="B40" i="40"/>
  <c r="AB2" i="39"/>
  <c r="F56" i="39"/>
  <c r="F58" i="39"/>
  <c r="A56" i="39"/>
  <c r="A58" i="39"/>
  <c r="F57" i="39"/>
  <c r="A57" i="39"/>
  <c r="F55" i="39"/>
  <c r="A55" i="39"/>
  <c r="F50" i="39"/>
  <c r="F52" i="39"/>
  <c r="A50" i="39"/>
  <c r="A52" i="39"/>
  <c r="F51" i="39"/>
  <c r="A51" i="39"/>
  <c r="F49" i="39"/>
  <c r="A49" i="39"/>
  <c r="I46" i="39"/>
  <c r="H46" i="39"/>
  <c r="G46" i="39"/>
  <c r="F44" i="39"/>
  <c r="F46" i="39"/>
  <c r="A44" i="39"/>
  <c r="A46" i="39"/>
  <c r="I45" i="39"/>
  <c r="H45" i="39"/>
  <c r="G45" i="39"/>
  <c r="F45" i="39"/>
  <c r="A45" i="39"/>
  <c r="I43" i="39"/>
  <c r="H43" i="39"/>
  <c r="G43" i="39"/>
  <c r="F43" i="39"/>
  <c r="A43" i="39"/>
  <c r="AB2" i="38"/>
  <c r="F57" i="38"/>
  <c r="F59" i="38"/>
  <c r="A57" i="38"/>
  <c r="A59" i="38"/>
  <c r="F58" i="38"/>
  <c r="A58" i="38"/>
  <c r="F56" i="38"/>
  <c r="A56" i="38"/>
  <c r="F51" i="38"/>
  <c r="F53" i="38"/>
  <c r="A51" i="38"/>
  <c r="A53" i="38"/>
  <c r="F52" i="38"/>
  <c r="A52" i="38"/>
  <c r="F50" i="38"/>
  <c r="A50" i="38"/>
  <c r="I47" i="38"/>
  <c r="H47" i="38"/>
  <c r="G47" i="38"/>
  <c r="F45" i="38"/>
  <c r="F47" i="38"/>
  <c r="A45" i="38"/>
  <c r="A47" i="38"/>
  <c r="I46" i="38"/>
  <c r="H46" i="38"/>
  <c r="G46" i="38"/>
  <c r="F46" i="38"/>
  <c r="A46" i="38"/>
  <c r="I44" i="38"/>
  <c r="H44" i="38"/>
  <c r="G44" i="38"/>
  <c r="F44" i="38"/>
  <c r="A44" i="38"/>
  <c r="AB2" i="37"/>
  <c r="F57" i="37"/>
  <c r="F59" i="37"/>
  <c r="A57" i="37"/>
  <c r="A59" i="37"/>
  <c r="F58" i="37"/>
  <c r="A58" i="37"/>
  <c r="F56" i="37"/>
  <c r="A56" i="37"/>
  <c r="F51" i="37"/>
  <c r="F53" i="37"/>
  <c r="A51" i="37"/>
  <c r="A53" i="37"/>
  <c r="F52" i="37"/>
  <c r="A52" i="37"/>
  <c r="F50" i="37"/>
  <c r="A50" i="37"/>
  <c r="I47" i="37"/>
  <c r="H47" i="37"/>
  <c r="G47" i="37"/>
  <c r="F45" i="37"/>
  <c r="F47" i="37"/>
  <c r="A45" i="37"/>
  <c r="A47" i="37"/>
  <c r="I46" i="37"/>
  <c r="H46" i="37"/>
  <c r="G46" i="37"/>
  <c r="F46" i="37"/>
  <c r="A46" i="37"/>
  <c r="I44" i="37"/>
  <c r="H44" i="37"/>
  <c r="G44" i="37"/>
  <c r="F44" i="37"/>
  <c r="A44" i="37"/>
  <c r="AB2" i="36"/>
  <c r="F56" i="36"/>
  <c r="F58" i="36"/>
  <c r="A56" i="36"/>
  <c r="A58" i="36"/>
  <c r="F57" i="36"/>
  <c r="A57" i="36"/>
  <c r="F55" i="36"/>
  <c r="A55" i="36"/>
  <c r="F50" i="36"/>
  <c r="F52" i="36"/>
  <c r="A50" i="36"/>
  <c r="A52" i="36"/>
  <c r="F51" i="36"/>
  <c r="A51" i="36"/>
  <c r="F49" i="36"/>
  <c r="A49" i="36"/>
  <c r="I46" i="36"/>
  <c r="H46" i="36"/>
  <c r="G46" i="36"/>
  <c r="F44" i="36"/>
  <c r="F46" i="36"/>
  <c r="A44" i="36"/>
  <c r="A46" i="36"/>
  <c r="I45" i="36"/>
  <c r="H45" i="36"/>
  <c r="G45" i="36"/>
  <c r="F45" i="36"/>
  <c r="A45" i="36"/>
  <c r="I43" i="36"/>
  <c r="H43" i="36"/>
  <c r="G43" i="36"/>
  <c r="F43" i="36"/>
  <c r="A43" i="36"/>
  <c r="AB2" i="35"/>
  <c r="F57" i="35"/>
  <c r="F59" i="35"/>
  <c r="A57" i="35"/>
  <c r="A59" i="35"/>
  <c r="F58" i="35"/>
  <c r="A58" i="35"/>
  <c r="F56" i="35"/>
  <c r="A56" i="35"/>
  <c r="F51" i="35"/>
  <c r="F53" i="35"/>
  <c r="A51" i="35"/>
  <c r="A53" i="35"/>
  <c r="F52" i="35"/>
  <c r="A52" i="35"/>
  <c r="F50" i="35"/>
  <c r="A50" i="35"/>
  <c r="I47" i="35"/>
  <c r="H47" i="35"/>
  <c r="G47" i="35"/>
  <c r="F45" i="35"/>
  <c r="F47" i="35"/>
  <c r="A45" i="35"/>
  <c r="A47" i="35"/>
  <c r="I46" i="35"/>
  <c r="H46" i="35"/>
  <c r="G46" i="35"/>
  <c r="F46" i="35"/>
  <c r="A46" i="35"/>
  <c r="I44" i="35"/>
  <c r="H44" i="35"/>
  <c r="G44" i="35"/>
  <c r="F44" i="35"/>
  <c r="A44" i="35"/>
  <c r="AB2" i="34"/>
  <c r="F56" i="34"/>
  <c r="F58" i="34"/>
  <c r="A56" i="34"/>
  <c r="A58" i="34"/>
  <c r="F57" i="34"/>
  <c r="A57" i="34"/>
  <c r="F55" i="34"/>
  <c r="A55" i="34"/>
  <c r="F50" i="34"/>
  <c r="F52" i="34"/>
  <c r="A50" i="34"/>
  <c r="A52" i="34"/>
  <c r="F51" i="34"/>
  <c r="A51" i="34"/>
  <c r="F49" i="34"/>
  <c r="A49" i="34"/>
  <c r="I46" i="34"/>
  <c r="H46" i="34"/>
  <c r="G46" i="34"/>
  <c r="F44" i="34"/>
  <c r="F46" i="34"/>
  <c r="A44" i="34"/>
  <c r="A46" i="34"/>
  <c r="I45" i="34"/>
  <c r="H45" i="34"/>
  <c r="G45" i="34"/>
  <c r="F45" i="34"/>
  <c r="A45" i="34"/>
  <c r="I43" i="34"/>
  <c r="H43" i="34"/>
  <c r="G43" i="34"/>
  <c r="F43" i="34"/>
  <c r="A43" i="34"/>
  <c r="AB2" i="33"/>
  <c r="F57" i="33"/>
  <c r="F59" i="33"/>
  <c r="A57" i="33"/>
  <c r="A59" i="33"/>
  <c r="F58" i="33"/>
  <c r="A58" i="33"/>
  <c r="F56" i="33"/>
  <c r="A56" i="33"/>
  <c r="F51" i="33"/>
  <c r="F53" i="33"/>
  <c r="A51" i="33"/>
  <c r="A53" i="33"/>
  <c r="F52" i="33"/>
  <c r="A52" i="33"/>
  <c r="F50" i="33"/>
  <c r="A50" i="33"/>
  <c r="I47" i="33"/>
  <c r="H47" i="33"/>
  <c r="G47" i="33"/>
  <c r="F45" i="33"/>
  <c r="F47" i="33"/>
  <c r="A45" i="33"/>
  <c r="A47" i="33"/>
  <c r="I46" i="33"/>
  <c r="H46" i="33"/>
  <c r="G46" i="33"/>
  <c r="F46" i="33"/>
  <c r="A46" i="33"/>
  <c r="I44" i="33"/>
  <c r="H44" i="33"/>
  <c r="G44" i="33"/>
  <c r="F44" i="33"/>
  <c r="A44" i="33"/>
  <c r="AB2" i="32"/>
  <c r="F55" i="32"/>
  <c r="F57" i="32"/>
  <c r="A55" i="32"/>
  <c r="A57" i="32"/>
  <c r="F56" i="32"/>
  <c r="A56" i="32"/>
  <c r="F54" i="32"/>
  <c r="A54" i="32"/>
  <c r="F49" i="32"/>
  <c r="F51" i="32"/>
  <c r="A49" i="32"/>
  <c r="A51" i="32"/>
  <c r="F50" i="32"/>
  <c r="A50" i="32"/>
  <c r="F48" i="32"/>
  <c r="A48" i="32"/>
  <c r="I45" i="32"/>
  <c r="H45" i="32"/>
  <c r="G45" i="32"/>
  <c r="F43" i="32"/>
  <c r="F45" i="32"/>
  <c r="A43" i="32"/>
  <c r="A45" i="32"/>
  <c r="I44" i="32"/>
  <c r="H44" i="32"/>
  <c r="G44" i="32"/>
  <c r="F44" i="32"/>
  <c r="A44" i="32"/>
  <c r="I42" i="32"/>
  <c r="H42" i="32"/>
  <c r="G42" i="32"/>
  <c r="F42" i="32"/>
  <c r="A42" i="32"/>
  <c r="B38" i="32"/>
  <c r="AB2" i="7"/>
  <c r="F57" i="7"/>
  <c r="A57" i="7"/>
  <c r="F51" i="7"/>
  <c r="F45" i="7"/>
  <c r="A51" i="7"/>
  <c r="A45" i="7"/>
  <c r="B40" i="7"/>
  <c r="F59" i="7"/>
  <c r="F58" i="7"/>
  <c r="F56" i="7"/>
  <c r="A59" i="7"/>
  <c r="A58" i="7"/>
  <c r="A56" i="7"/>
  <c r="F50" i="7"/>
  <c r="F52" i="7"/>
  <c r="F53" i="7"/>
  <c r="A53" i="7"/>
  <c r="A52" i="7"/>
  <c r="A50" i="7"/>
  <c r="A44" i="7"/>
  <c r="I44" i="7"/>
  <c r="H44" i="7"/>
  <c r="G44" i="7"/>
  <c r="F44" i="7"/>
  <c r="I47" i="7"/>
  <c r="H47" i="7"/>
  <c r="G47" i="7"/>
  <c r="F47" i="7"/>
  <c r="A47" i="7"/>
  <c r="I46" i="7"/>
  <c r="H46" i="7"/>
  <c r="G46" i="7"/>
  <c r="F46" i="7"/>
  <c r="A46" i="7"/>
  <c r="C40" i="7"/>
  <c r="C7" i="19"/>
  <c r="I40" i="7"/>
  <c r="H40" i="7"/>
  <c r="G40" i="7"/>
  <c r="F40" i="7"/>
  <c r="F7" i="19" s="1"/>
  <c r="F20" i="19" s="1"/>
  <c r="E40" i="7"/>
  <c r="D40" i="7"/>
  <c r="I7" i="19"/>
  <c r="H7" i="19"/>
  <c r="G7" i="19"/>
  <c r="E7" i="19"/>
  <c r="D7" i="19"/>
  <c r="I20" i="19"/>
  <c r="H20" i="19"/>
  <c r="G20" i="19"/>
  <c r="E20" i="19"/>
  <c r="D20" i="19"/>
  <c r="C20" i="19"/>
  <c r="B39" i="36" l="1"/>
  <c r="A7" i="33" a="1"/>
  <c r="A7" i="33" s="1"/>
  <c r="A7" i="34" a="1"/>
  <c r="A7" i="34" s="1"/>
  <c r="A7" i="35" a="1"/>
  <c r="A7" i="35" s="1"/>
  <c r="A7" i="37" a="1"/>
  <c r="A7" i="37" s="1"/>
  <c r="B39" i="41"/>
  <c r="A7" i="38" a="1"/>
  <c r="A7" i="38" s="1"/>
  <c r="A7" i="39" a="1"/>
  <c r="A7" i="3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<sst xmlns="http://schemas.openxmlformats.org/spreadsheetml/2006/main" count="361" uniqueCount="145">
  <si>
    <t>Name:</t>
  </si>
  <si>
    <t>Date</t>
  </si>
  <si>
    <t>Location</t>
  </si>
  <si>
    <t>MT</t>
  </si>
  <si>
    <t>PT</t>
  </si>
  <si>
    <t>UT</t>
  </si>
  <si>
    <t xml:space="preserve">VT </t>
  </si>
  <si>
    <t>HOURS</t>
  </si>
  <si>
    <t>PAUT</t>
  </si>
  <si>
    <t>X</t>
  </si>
  <si>
    <t>ASNT Level III # 48461</t>
  </si>
  <si>
    <t>larry@integrityspecialists.com</t>
  </si>
  <si>
    <t>Time in Method Summary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</si>
  <si>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</si>
  <si>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</si>
  <si>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</si>
  <si>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</si>
  <si>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</si>
  <si>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</si>
  <si>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</si>
  <si>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</si>
  <si>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</si>
  <si>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</si>
  <si>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</si>
  <si>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</si>
  <si>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Locations</t>
  </si>
  <si>
    <t>Supervising Technician</t>
  </si>
  <si>
    <t>Integrity Specialists, LLC                                              1151 Business Blvd                                                                  Annandale, MN 55302                                                        PH 503-437-3273</t>
  </si>
  <si>
    <t>Lelfstrom@integrityspecialists.com</t>
  </si>
  <si>
    <t>Project Manager</t>
  </si>
  <si>
    <t>Training &amp; Quality Control Manager</t>
  </si>
  <si>
    <t>Ahlgren, Benjamin A</t>
  </si>
  <si>
    <t>Harwood, Matthew T</t>
  </si>
  <si>
    <t>Ripper, Thomas R (Tommy)</t>
  </si>
  <si>
    <t>Schewe, Larry J</t>
  </si>
  <si>
    <t>Barlow, Alec</t>
  </si>
  <si>
    <t>Dunn, Larry S</t>
  </si>
  <si>
    <t>Elfstrom, Lawrence (Tray)</t>
  </si>
  <si>
    <t>Jones, Matthew E</t>
  </si>
  <si>
    <t>Metcalf, Levi</t>
  </si>
  <si>
    <t>Miller, Matthew L</t>
  </si>
  <si>
    <t>Smith, Jim</t>
  </si>
  <si>
    <t>Smith, Mason D</t>
  </si>
  <si>
    <t>Alfonso, Marco</t>
  </si>
  <si>
    <t>Arceneaux, Austin</t>
  </si>
  <si>
    <t>Barta, Toby</t>
  </si>
  <si>
    <t>Becenti, Jordan</t>
  </si>
  <si>
    <t>Cottingham, Christian</t>
  </si>
  <si>
    <t>Ford, Deion</t>
  </si>
  <si>
    <t>Gamez, Manuel (Manny)</t>
  </si>
  <si>
    <t>Garcia, Josua</t>
  </si>
  <si>
    <t>Gillis, Dylan</t>
  </si>
  <si>
    <t>Harmon, Wade</t>
  </si>
  <si>
    <t>Holbrook, Dominic</t>
  </si>
  <si>
    <t>Holland, Tristan</t>
  </si>
  <si>
    <t>Johnson, Karson</t>
  </si>
  <si>
    <t>Lindenfelser, Mike</t>
  </si>
  <si>
    <t>Loveland, Justin T (Tyler)</t>
  </si>
  <si>
    <t>Mattila, Ted</t>
  </si>
  <si>
    <t>Martinez, Xavier</t>
  </si>
  <si>
    <t>Neely, Eric</t>
  </si>
  <si>
    <t>Reid, Ross</t>
  </si>
  <si>
    <t>Roberston, Stormy</t>
  </si>
  <si>
    <t>Scarborough, Zachary</t>
  </si>
  <si>
    <t>Silva, Brandon</t>
  </si>
  <si>
    <t>Sims, Justin K</t>
  </si>
  <si>
    <t>Slusar, Travis</t>
  </si>
  <si>
    <t>Vanderstelt, Joseph</t>
  </si>
  <si>
    <t>Canales, Camiren</t>
  </si>
  <si>
    <t>Cuéllar, René</t>
  </si>
  <si>
    <t>Delgado, Luis</t>
  </si>
  <si>
    <t>Diaz, Miguel</t>
  </si>
  <si>
    <t>Drain, Jared</t>
  </si>
  <si>
    <t>Dunn, David</t>
  </si>
  <si>
    <t>Farrier, Coleman</t>
  </si>
  <si>
    <t>Jiron, Jaylon</t>
  </si>
  <si>
    <t>Sierra, Jonatan</t>
  </si>
  <si>
    <t>Vancour, Sean</t>
  </si>
  <si>
    <t>Vega, Andres</t>
  </si>
  <si>
    <t>Walker, Allen</t>
  </si>
  <si>
    <t>Welcher, Nathan (Nate)</t>
  </si>
  <si>
    <t>Larry@integrityspecialists.com</t>
  </si>
  <si>
    <t>Jim@integrityspecialists.com</t>
  </si>
  <si>
    <t>Malfonso@integrityspecialists.com</t>
  </si>
  <si>
    <t>Tbarta@integrityspecialists.com</t>
  </si>
  <si>
    <t>Jbecenti@integrityspecialists.com</t>
  </si>
  <si>
    <t>Ccottingham@integrityspecialists.com</t>
  </si>
  <si>
    <t>Dford@integrityspecialists.com</t>
  </si>
  <si>
    <t>Mgamez@integrityspecialists.com</t>
  </si>
  <si>
    <t>Jgarcia@integrityspecialists.com</t>
  </si>
  <si>
    <t>Dgillis@integrityspecialists.com</t>
  </si>
  <si>
    <t>Wharmon@integrityspecialists.com</t>
  </si>
  <si>
    <t>Dholbrook@integrityspecialists.com</t>
  </si>
  <si>
    <t>Tholland@integrityspecialists.com</t>
  </si>
  <si>
    <t>Kjohnson@integrityspecialists.com</t>
  </si>
  <si>
    <t>Rreid@integrityspecialists.com</t>
  </si>
  <si>
    <t>Zscarborough@integrityspecialists.com</t>
  </si>
  <si>
    <t>Bsilva@integrityspecialists.com</t>
  </si>
  <si>
    <t>Ccanales@integrityspecialists.com</t>
  </si>
  <si>
    <t>Rcuellar@integrityspecialists.com</t>
  </si>
  <si>
    <t>Ldelgado@integrityspecialists.com</t>
  </si>
  <si>
    <t>Mdiaz@integrityspecialists.com</t>
  </si>
  <si>
    <t>Jdrain@integrityspecialists.com</t>
  </si>
  <si>
    <t>Ddunn@integrityspecialists.com</t>
  </si>
  <si>
    <t>Cfarrier@integrityspecialists.com</t>
  </si>
  <si>
    <t>Jjiron@integrityspecialists.com</t>
  </si>
  <si>
    <t>Jsierra@integrityspecialists.com</t>
  </si>
  <si>
    <t>Svancour@integrityspecialists.com</t>
  </si>
  <si>
    <t>Avega@integrityspecialists.com</t>
  </si>
  <si>
    <t>Awalker@integrityspecialists.com</t>
  </si>
  <si>
    <t>Nwelcher@integrityspecialists.com</t>
  </si>
  <si>
    <t>Advanced Technician</t>
  </si>
  <si>
    <t>Senior Technician</t>
  </si>
  <si>
    <t>ASNT Level III</t>
  </si>
  <si>
    <t>Name</t>
  </si>
  <si>
    <r>
      <rPr>
        <sz val="10"/>
        <color indexed="8"/>
        <rFont val="Calibri"/>
        <family val="2"/>
      </rPr>
      <t>Ben@integrityspecialists.com</t>
    </r>
  </si>
  <si>
    <r>
      <rPr>
        <sz val="10"/>
        <color indexed="8"/>
        <rFont val="Calibri"/>
        <family val="2"/>
      </rPr>
      <t>Matt@integrityspecialists.com</t>
    </r>
  </si>
  <si>
    <r>
      <rPr>
        <sz val="10"/>
        <color indexed="8"/>
        <rFont val="Calibri"/>
        <family val="2"/>
      </rPr>
      <t>Tripper@integrityspecialists.com</t>
    </r>
  </si>
  <si>
    <r>
      <rPr>
        <sz val="10"/>
        <color indexed="8"/>
        <rFont val="Calibri"/>
        <family val="2"/>
      </rPr>
      <t>Abarlow@integrityspecialists.com</t>
    </r>
  </si>
  <si>
    <r>
      <rPr>
        <sz val="10"/>
        <color indexed="8"/>
        <rFont val="Calibri"/>
        <family val="2"/>
      </rPr>
      <t>Ldunn@integrityspecialists.com</t>
    </r>
  </si>
  <si>
    <r>
      <rPr>
        <sz val="10"/>
        <color indexed="8"/>
        <rFont val="Calibri"/>
        <family val="2"/>
      </rPr>
      <t>Mjones@integrityspecialists.com</t>
    </r>
  </si>
  <si>
    <r>
      <rPr>
        <sz val="10"/>
        <color indexed="8"/>
        <rFont val="Calibri"/>
        <family val="2"/>
      </rPr>
      <t>Lmetcalf@integrityspecialists.com</t>
    </r>
  </si>
  <si>
    <r>
      <rPr>
        <sz val="10"/>
        <color indexed="8"/>
        <rFont val="Calibri"/>
        <family val="2"/>
      </rPr>
      <t>Mmiller@integrityspecialists.com</t>
    </r>
  </si>
  <si>
    <r>
      <rPr>
        <sz val="10"/>
        <color indexed="8"/>
        <rFont val="Calibri"/>
        <family val="2"/>
      </rPr>
      <t>Mason@integrityspecialists.com</t>
    </r>
  </si>
  <si>
    <r>
      <rPr>
        <sz val="10"/>
        <color indexed="8"/>
        <rFont val="Calibri"/>
        <family val="2"/>
      </rPr>
      <t>Aarceneaux@integrityspecialists.com</t>
    </r>
  </si>
  <si>
    <r>
      <rPr>
        <sz val="10"/>
        <color indexed="8"/>
        <rFont val="Calibri"/>
        <family val="2"/>
      </rPr>
      <t>Mlindenfelser@integrityspecialists.com</t>
    </r>
  </si>
  <si>
    <r>
      <rPr>
        <sz val="10"/>
        <color indexed="8"/>
        <rFont val="Calibri"/>
        <family val="2"/>
      </rPr>
      <t>Tyler@integrityspecialists.com</t>
    </r>
  </si>
  <si>
    <r>
      <rPr>
        <sz val="10"/>
        <color indexed="8"/>
        <rFont val="Calibri"/>
        <family val="2"/>
      </rPr>
      <t>Tmattila@integrityspecialists.com</t>
    </r>
  </si>
  <si>
    <r>
      <rPr>
        <sz val="10"/>
        <color indexed="8"/>
        <rFont val="Calibri"/>
        <family val="2"/>
      </rPr>
      <t>Xmartinez@integrityspecialists.com</t>
    </r>
  </si>
  <si>
    <r>
      <rPr>
        <sz val="10"/>
        <color indexed="8"/>
        <rFont val="Calibri"/>
        <family val="2"/>
      </rPr>
      <t>Eneely@integrityspecialists.com</t>
    </r>
  </si>
  <si>
    <r>
      <rPr>
        <sz val="10"/>
        <color indexed="8"/>
        <rFont val="Calibri"/>
        <family val="2"/>
      </rPr>
      <t>Srobertson@integrityspecialists.com</t>
    </r>
  </si>
  <si>
    <r>
      <rPr>
        <sz val="10"/>
        <color indexed="8"/>
        <rFont val="Calibri"/>
        <family val="2"/>
      </rPr>
      <t>Jsims@integrityspecialists.com</t>
    </r>
  </si>
  <si>
    <r>
      <rPr>
        <sz val="10"/>
        <color indexed="8"/>
        <rFont val="Calibri"/>
        <family val="2"/>
      </rPr>
      <t>Tslusar@integrityspecialists.com</t>
    </r>
  </si>
  <si>
    <r>
      <rPr>
        <sz val="10"/>
        <color indexed="8"/>
        <rFont val="Calibri"/>
        <family val="2"/>
      </rPr>
      <t>Joe@integrityspecialists.com</t>
    </r>
  </si>
  <si>
    <t>E-Mail</t>
  </si>
  <si>
    <t>Job Title</t>
  </si>
  <si>
    <t>Integrity Specialists, LLC                                                     1151 Business Blvd                                                                  Annandale, MN 55302                                                        PH 503-437-3273</t>
  </si>
  <si>
    <t>Integrity Specialists, LLC                                                  1151 Business Blvd                                                                  Annandale, MN 55302                                                        PH 503-437-3273</t>
  </si>
  <si>
    <t>Integrity Specialists, LLC                                                 1151 Business Blvd                                                                  Annandale, MN 55302                                                        PH 503-437-3273</t>
  </si>
  <si>
    <t>Integrity Specialists, LLC                                                 1151 Business Blvd                                                                  Annandale, MN 55302                                                          PH 503-437-3273</t>
  </si>
  <si>
    <t>ET</t>
  </si>
  <si>
    <t>Time in Method</t>
  </si>
  <si>
    <t>Annual Summary</t>
  </si>
  <si>
    <t>LM</t>
  </si>
  <si>
    <t>Your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</si>
</sst>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0" x14ac:knownFonts="1">
    <font>
      <sz val="10"/>
      <name val="Arial"/>
    </font>
    <font>
      <b/>
      <sz val="10"/>
      <name val="Arial"/>
      <family val="2"/>
    </font>
    <font>
      <b/>
      <sz val="12"/>
      <color indexed="17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Calibri"/>
      <family val="2"/>
    </font>
    <font>
      <b/>
      <sz val="12"/>
      <color theme="3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3" fillId="0" borderId="2" xfId="0" applyFont="1" applyBorder="1"/>
    <xf numFmtId="14" fontId="0" fillId="0" borderId="3" xfId="0" applyNumberFormat="1" applyBorder="1"/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right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/>
    </xf>
    <xf numFmtId="0" fontId="6" fillId="0" borderId="1" xfId="0" applyFont="1" applyBorder="1"/>
    <xf numFmtId="0" fontId="3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4" fontId="0" fillId="0" borderId="0" xfId="0" applyNumberFormat="1"/>
    <xf numFmtId="14" fontId="0" fillId="0" borderId="4" xfId="0" applyNumberFormat="1" applyBorder="1"/>
    <xf numFmtId="0" fontId="1" fillId="0" borderId="11" xfId="0" applyFont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49" fontId="0" fillId="0" borderId="4" xfId="0" applyNumberFormat="1" applyBorder="1"/>
    <xf numFmtId="0" fontId="0" fillId="0" borderId="13" xfId="0" applyBorder="1"/>
    <xf numFmtId="14" fontId="0" fillId="0" borderId="10" xfId="0" applyNumberFormat="1" applyBorder="1"/>
    <xf numFmtId="0" fontId="0" fillId="0" borderId="10" xfId="0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4" xfId="0" applyBorder="1"/>
    <xf numFmtId="14" fontId="1" fillId="0" borderId="0" xfId="0" applyNumberFormat="1" applyFont="1"/>
    <xf numFmtId="0" fontId="5" fillId="0" borderId="9" xfId="0" applyFont="1" applyBorder="1" applyAlignment="1">
      <alignment horizontal="center"/>
    </xf>
    <xf numFmtId="0" fontId="7" fillId="0" borderId="0" xfId="0" applyFont="1"/>
    <xf numFmtId="164" fontId="0" fillId="0" borderId="0" xfId="0" applyNumberFormat="1"/>
    <xf numFmtId="0" fontId="3" fillId="0" borderId="0" xfId="0" applyFont="1" applyAlignment="1">
      <alignment horizontal="center"/>
    </xf>
    <xf numFmtId="0" fontId="0" fillId="0" borderId="0" xfId="0" applyProtection="1">
      <protection locked="0"/>
    </xf>
    <xf numFmtId="0" fontId="7" fillId="0" borderId="0" xfId="0" applyFont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7" fillId="0" borderId="3" xfId="0" applyFont="1" applyBorder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1" fillId="0" borderId="0" xfId="0" applyFont="1" applyAlignment="1">
      <alignment horizontal="right"/>
    </xf>
    <xf numFmtId="164" fontId="0" fillId="0" borderId="3" xfId="0" applyNumberFormat="1" applyBorder="1" applyAlignment="1">
      <alignment horizontal="right"/>
    </xf>
    <xf numFmtId="0" fontId="0" fillId="0" borderId="15" xfId="0" applyBorder="1"/>
    <xf numFmtId="0" fontId="9" fillId="0" borderId="15" xfId="0" applyFont="1" applyBorder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14" fontId="1" fillId="0" borderId="0" xfId="0" applyNumberFormat="1" applyFont="1" applyAlignment="1">
      <alignment horizontal="right"/>
    </xf>
    <xf numFmtId="0" fontId="1" fillId="0" borderId="0" xfId="0" applyFont="1" applyAlignment="1" applyProtection="1">
      <alignment horizontal="left"/>
      <protection locked="0"/>
    </xf>
    <xf numFmtId="0" fontId="0" fillId="0" borderId="0" xfId="0"/>
    <xf numFmtId="0" fontId="7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center"/>
    </xf>
    <xf numFmtId="0" fontId="6" fillId="0" borderId="1" xfId="0" applyFont="1" applyBorder="1" applyProtection="1">
      <protection locked="0"/>
    </xf>
  </cellXfs>
  <cellStyles count="1">
    <cellStyle name="Normal" xfId="0" builtinId="0"/>
  </cellStyles>
  <dxfs count="72"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139700</xdr:rowOff>
    </xdr:from>
    <xdr:to>
      <xdr:col>2</xdr:col>
      <xdr:colOff>247650</xdr:colOff>
      <xdr:row>0</xdr:row>
      <xdr:rowOff>787400</xdr:rowOff>
    </xdr:to>
    <xdr:pic>
      <xdr:nvPicPr>
        <xdr:cNvPr id="5246" name="Picture 2" descr="LogoFinal.jpg">
          <a:extLst>
            <a:ext uri="{FF2B5EF4-FFF2-40B4-BE49-F238E27FC236}">
              <a16:creationId xmlns:a16="http://schemas.microsoft.com/office/drawing/2014/main" id="{17C53B5D-F961-2211-64C9-E35AA6AF7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39700"/>
          <a:ext cx="36703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139700</xdr:rowOff>
    </xdr:from>
    <xdr:to>
      <xdr:col>2</xdr:col>
      <xdr:colOff>196850</xdr:colOff>
      <xdr:row>0</xdr:row>
      <xdr:rowOff>787400</xdr:rowOff>
    </xdr:to>
    <xdr:pic>
      <xdr:nvPicPr>
        <xdr:cNvPr id="28674" name="Picture 2" descr="LogoFinal.jpg">
          <a:extLst>
            <a:ext uri="{FF2B5EF4-FFF2-40B4-BE49-F238E27FC236}">
              <a16:creationId xmlns:a16="http://schemas.microsoft.com/office/drawing/2014/main" id="{44B56404-013C-0968-7314-8B33B574E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39700"/>
          <a:ext cx="36703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139700</xdr:rowOff>
    </xdr:from>
    <xdr:to>
      <xdr:col>2</xdr:col>
      <xdr:colOff>247650</xdr:colOff>
      <xdr:row>0</xdr:row>
      <xdr:rowOff>787400</xdr:rowOff>
    </xdr:to>
    <xdr:pic>
      <xdr:nvPicPr>
        <xdr:cNvPr id="29697" name="Picture 2" descr="LogoFinal.jpg">
          <a:extLst>
            <a:ext uri="{FF2B5EF4-FFF2-40B4-BE49-F238E27FC236}">
              <a16:creationId xmlns:a16="http://schemas.microsoft.com/office/drawing/2014/main" id="{D9306A2F-8E60-2616-8EE1-F39A8F1D1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39700"/>
          <a:ext cx="36703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139700</xdr:rowOff>
    </xdr:from>
    <xdr:to>
      <xdr:col>2</xdr:col>
      <xdr:colOff>247650</xdr:colOff>
      <xdr:row>0</xdr:row>
      <xdr:rowOff>787400</xdr:rowOff>
    </xdr:to>
    <xdr:pic>
      <xdr:nvPicPr>
        <xdr:cNvPr id="30721" name="Picture 2" descr="LogoFinal.jpg">
          <a:extLst>
            <a:ext uri="{FF2B5EF4-FFF2-40B4-BE49-F238E27FC236}">
              <a16:creationId xmlns:a16="http://schemas.microsoft.com/office/drawing/2014/main" id="{648D6AB9-FF6B-CD47-5392-6F0BAF849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39700"/>
          <a:ext cx="36703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139700</xdr:rowOff>
    </xdr:from>
    <xdr:to>
      <xdr:col>2</xdr:col>
      <xdr:colOff>247650</xdr:colOff>
      <xdr:row>0</xdr:row>
      <xdr:rowOff>787400</xdr:rowOff>
    </xdr:to>
    <xdr:pic>
      <xdr:nvPicPr>
        <xdr:cNvPr id="31745" name="Picture 2" descr="LogoFinal.jpg">
          <a:extLst>
            <a:ext uri="{FF2B5EF4-FFF2-40B4-BE49-F238E27FC236}">
              <a16:creationId xmlns:a16="http://schemas.microsoft.com/office/drawing/2014/main" id="{2F8D7EE3-CC0E-0990-2662-B7411B9ED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39700"/>
          <a:ext cx="36703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139700</xdr:rowOff>
    </xdr:from>
    <xdr:to>
      <xdr:col>2</xdr:col>
      <xdr:colOff>247650</xdr:colOff>
      <xdr:row>0</xdr:row>
      <xdr:rowOff>787400</xdr:rowOff>
    </xdr:to>
    <xdr:pic>
      <xdr:nvPicPr>
        <xdr:cNvPr id="32769" name="Picture 2" descr="LogoFinal.jpg">
          <a:extLst>
            <a:ext uri="{FF2B5EF4-FFF2-40B4-BE49-F238E27FC236}">
              <a16:creationId xmlns:a16="http://schemas.microsoft.com/office/drawing/2014/main" id="{84E367AF-2781-549E-CCBD-A30125C3C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39700"/>
          <a:ext cx="36703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139700</xdr:rowOff>
    </xdr:from>
    <xdr:to>
      <xdr:col>2</xdr:col>
      <xdr:colOff>247650</xdr:colOff>
      <xdr:row>0</xdr:row>
      <xdr:rowOff>787400</xdr:rowOff>
    </xdr:to>
    <xdr:pic>
      <xdr:nvPicPr>
        <xdr:cNvPr id="33793" name="Picture 2" descr="LogoFinal.jpg">
          <a:extLst>
            <a:ext uri="{FF2B5EF4-FFF2-40B4-BE49-F238E27FC236}">
              <a16:creationId xmlns:a16="http://schemas.microsoft.com/office/drawing/2014/main" id="{129B481D-2BDF-A260-F161-8903EB82A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39700"/>
          <a:ext cx="36703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139700</xdr:rowOff>
    </xdr:from>
    <xdr:to>
      <xdr:col>2</xdr:col>
      <xdr:colOff>247650</xdr:colOff>
      <xdr:row>0</xdr:row>
      <xdr:rowOff>787400</xdr:rowOff>
    </xdr:to>
    <xdr:pic>
      <xdr:nvPicPr>
        <xdr:cNvPr id="34817" name="Picture 2" descr="LogoFinal.jpg">
          <a:extLst>
            <a:ext uri="{FF2B5EF4-FFF2-40B4-BE49-F238E27FC236}">
              <a16:creationId xmlns:a16="http://schemas.microsoft.com/office/drawing/2014/main" id="{46041521-A7B5-DAE5-7B83-89D437575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39700"/>
          <a:ext cx="36703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139700</xdr:rowOff>
    </xdr:from>
    <xdr:to>
      <xdr:col>2</xdr:col>
      <xdr:colOff>82550</xdr:colOff>
      <xdr:row>0</xdr:row>
      <xdr:rowOff>787400</xdr:rowOff>
    </xdr:to>
    <xdr:pic>
      <xdr:nvPicPr>
        <xdr:cNvPr id="35841" name="Picture 2" descr="LogoFinal.jpg">
          <a:extLst>
            <a:ext uri="{FF2B5EF4-FFF2-40B4-BE49-F238E27FC236}">
              <a16:creationId xmlns:a16="http://schemas.microsoft.com/office/drawing/2014/main" id="{FF5712B6-D57D-3E57-3AD8-4DFC66257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39700"/>
          <a:ext cx="36703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139700</xdr:rowOff>
    </xdr:from>
    <xdr:to>
      <xdr:col>2</xdr:col>
      <xdr:colOff>247650</xdr:colOff>
      <xdr:row>0</xdr:row>
      <xdr:rowOff>787400</xdr:rowOff>
    </xdr:to>
    <xdr:pic>
      <xdr:nvPicPr>
        <xdr:cNvPr id="36865" name="Picture 2" descr="LogoFinal.jpg">
          <a:extLst>
            <a:ext uri="{FF2B5EF4-FFF2-40B4-BE49-F238E27FC236}">
              <a16:creationId xmlns:a16="http://schemas.microsoft.com/office/drawing/2014/main" id="{EA21B834-C37E-7CB7-6F96-D2FEC70A3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39700"/>
          <a:ext cx="36703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139700</xdr:rowOff>
    </xdr:from>
    <xdr:to>
      <xdr:col>2</xdr:col>
      <xdr:colOff>133350</xdr:colOff>
      <xdr:row>0</xdr:row>
      <xdr:rowOff>787400</xdr:rowOff>
    </xdr:to>
    <xdr:pic>
      <xdr:nvPicPr>
        <xdr:cNvPr id="37889" name="Picture 2" descr="LogoFinal.jpg">
          <a:extLst>
            <a:ext uri="{FF2B5EF4-FFF2-40B4-BE49-F238E27FC236}">
              <a16:creationId xmlns:a16="http://schemas.microsoft.com/office/drawing/2014/main" id="{80A6B38E-DE2E-30C6-B4AD-389FEE481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39700"/>
          <a:ext cx="36703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139700</xdr:rowOff>
    </xdr:from>
    <xdr:to>
      <xdr:col>2</xdr:col>
      <xdr:colOff>120650</xdr:colOff>
      <xdr:row>0</xdr:row>
      <xdr:rowOff>787400</xdr:rowOff>
    </xdr:to>
    <xdr:pic>
      <xdr:nvPicPr>
        <xdr:cNvPr id="38913" name="Picture 2" descr="LogoFinal.jpg">
          <a:extLst>
            <a:ext uri="{FF2B5EF4-FFF2-40B4-BE49-F238E27FC236}">
              <a16:creationId xmlns:a16="http://schemas.microsoft.com/office/drawing/2014/main" id="{38F5E299-D3AB-0E75-A61B-92C375E7E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39700"/>
          <a:ext cx="36703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139700</xdr:rowOff>
    </xdr:from>
    <xdr:to>
      <xdr:col>3</xdr:col>
      <xdr:colOff>406400</xdr:colOff>
      <xdr:row>0</xdr:row>
      <xdr:rowOff>787400</xdr:rowOff>
    </xdr:to>
    <xdr:pic>
      <xdr:nvPicPr>
        <xdr:cNvPr id="15468" name="Picture 2" descr="LogoFinal.jpg">
          <a:extLst>
            <a:ext uri="{FF2B5EF4-FFF2-40B4-BE49-F238E27FC236}">
              <a16:creationId xmlns:a16="http://schemas.microsoft.com/office/drawing/2014/main" id="{8E0CCF8F-7918-E52B-0CB2-FEA41FC55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39700"/>
          <a:ext cx="36639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20A75-B653-4662-A70D-1C6EAB8F33F7}">
  <dimension ref="D1:F52"/>
  <sheetViews>
    <sheetView topLeftCell="A13" workbookViewId="0">
      <selection activeCell="B5" sqref="B5"/>
    </sheetView>
  </sheetViews>
  <sheetFormatPr defaultRowHeight="12.5" x14ac:dyDescent="0.25"/>
  <cols>
    <col min="1" max="1" width="18.453125" customWidth="1"/>
    <col min="2" max="2" width="13.453125" customWidth="1"/>
    <col min="4" max="4" width="21.54296875" bestFit="1" customWidth="1"/>
    <col min="5" max="5" width="28.81640625" bestFit="1" customWidth="1"/>
    <col min="6" max="6" width="29.26953125" bestFit="1" customWidth="1"/>
  </cols>
  <sheetData>
    <row r="1" spans="4:6" x14ac:dyDescent="0.25">
      <c r="D1" s="33"/>
      <c r="E1" s="33"/>
      <c r="F1" s="33"/>
    </row>
    <row r="2" spans="4:6" ht="13" x14ac:dyDescent="0.3">
      <c r="D2" s="33" t="s">
        <v>31</v>
      </c>
      <c r="E2" s="33" t="s">
        <v>115</v>
      </c>
      <c r="F2" s="33"/>
    </row>
    <row r="3" spans="4:6" x14ac:dyDescent="0.25">
      <c r="D3" s="33" t="s">
        <v>43</v>
      </c>
      <c r="E3" s="33" t="s">
        <v>83</v>
      </c>
      <c r="F3" s="33" t="s">
        <v>111</v>
      </c>
    </row>
    <row r="4" spans="4:6" ht="13" x14ac:dyDescent="0.3">
      <c r="D4" s="33" t="s">
        <v>44</v>
      </c>
      <c r="E4" s="33" t="s">
        <v>124</v>
      </c>
      <c r="F4" s="33" t="s">
        <v>111</v>
      </c>
    </row>
    <row r="5" spans="4:6" ht="13" x14ac:dyDescent="0.3">
      <c r="D5" s="33" t="s">
        <v>35</v>
      </c>
      <c r="E5" s="33" t="s">
        <v>118</v>
      </c>
      <c r="F5" s="33" t="s">
        <v>29</v>
      </c>
    </row>
    <row r="6" spans="4:6" x14ac:dyDescent="0.25">
      <c r="D6" s="33" t="s">
        <v>45</v>
      </c>
      <c r="E6" s="33" t="s">
        <v>84</v>
      </c>
      <c r="F6" s="33" t="s">
        <v>111</v>
      </c>
    </row>
    <row r="7" spans="4:6" x14ac:dyDescent="0.25">
      <c r="D7" s="33" t="s">
        <v>46</v>
      </c>
      <c r="E7" s="33" t="s">
        <v>85</v>
      </c>
      <c r="F7" s="33" t="s">
        <v>111</v>
      </c>
    </row>
    <row r="8" spans="4:6" x14ac:dyDescent="0.25">
      <c r="D8" s="33" t="s">
        <v>68</v>
      </c>
      <c r="E8" s="33" t="s">
        <v>98</v>
      </c>
      <c r="F8" s="33" t="s">
        <v>112</v>
      </c>
    </row>
    <row r="9" spans="4:6" x14ac:dyDescent="0.25">
      <c r="D9" s="33" t="s">
        <v>47</v>
      </c>
      <c r="E9" s="33" t="s">
        <v>86</v>
      </c>
      <c r="F9" s="33" t="s">
        <v>111</v>
      </c>
    </row>
    <row r="10" spans="4:6" x14ac:dyDescent="0.25">
      <c r="D10" s="33" t="s">
        <v>69</v>
      </c>
      <c r="E10" s="33" t="s">
        <v>99</v>
      </c>
      <c r="F10" s="33" t="s">
        <v>112</v>
      </c>
    </row>
    <row r="11" spans="4:6" x14ac:dyDescent="0.25">
      <c r="D11" s="33" t="s">
        <v>70</v>
      </c>
      <c r="E11" s="33" t="s">
        <v>100</v>
      </c>
      <c r="F11" s="33" t="s">
        <v>112</v>
      </c>
    </row>
    <row r="12" spans="4:6" x14ac:dyDescent="0.25">
      <c r="D12" s="33" t="s">
        <v>71</v>
      </c>
      <c r="E12" s="33" t="s">
        <v>101</v>
      </c>
      <c r="F12" s="33" t="s">
        <v>112</v>
      </c>
    </row>
    <row r="13" spans="4:6" x14ac:dyDescent="0.25">
      <c r="D13" s="33" t="s">
        <v>72</v>
      </c>
      <c r="E13" s="33" t="s">
        <v>102</v>
      </c>
      <c r="F13" s="33" t="s">
        <v>112</v>
      </c>
    </row>
    <row r="14" spans="4:6" x14ac:dyDescent="0.25">
      <c r="D14" s="33" t="s">
        <v>73</v>
      </c>
      <c r="E14" s="33" t="s">
        <v>103</v>
      </c>
      <c r="F14" s="33" t="s">
        <v>112</v>
      </c>
    </row>
    <row r="15" spans="4:6" ht="13" x14ac:dyDescent="0.3">
      <c r="D15" s="33" t="s">
        <v>36</v>
      </c>
      <c r="E15" s="33" t="s">
        <v>119</v>
      </c>
      <c r="F15" s="33" t="s">
        <v>29</v>
      </c>
    </row>
    <row r="16" spans="4:6" x14ac:dyDescent="0.25">
      <c r="D16" s="33" t="s">
        <v>37</v>
      </c>
      <c r="E16" s="33" t="s">
        <v>28</v>
      </c>
      <c r="F16" s="33" t="s">
        <v>30</v>
      </c>
    </row>
    <row r="17" spans="4:6" x14ac:dyDescent="0.25">
      <c r="D17" s="33" t="s">
        <v>74</v>
      </c>
      <c r="E17" s="33" t="s">
        <v>104</v>
      </c>
      <c r="F17" s="33" t="s">
        <v>112</v>
      </c>
    </row>
    <row r="18" spans="4:6" x14ac:dyDescent="0.25">
      <c r="D18" s="33" t="s">
        <v>48</v>
      </c>
      <c r="E18" s="33" t="s">
        <v>87</v>
      </c>
      <c r="F18" s="33" t="s">
        <v>111</v>
      </c>
    </row>
    <row r="19" spans="4:6" x14ac:dyDescent="0.25">
      <c r="D19" s="33" t="s">
        <v>49</v>
      </c>
      <c r="E19" s="33" t="s">
        <v>88</v>
      </c>
      <c r="F19" s="33" t="s">
        <v>111</v>
      </c>
    </row>
    <row r="20" spans="4:6" x14ac:dyDescent="0.25">
      <c r="D20" s="33" t="s">
        <v>50</v>
      </c>
      <c r="E20" s="33" t="s">
        <v>89</v>
      </c>
      <c r="F20" s="33" t="s">
        <v>111</v>
      </c>
    </row>
    <row r="21" spans="4:6" x14ac:dyDescent="0.25">
      <c r="D21" s="33" t="s">
        <v>51</v>
      </c>
      <c r="E21" s="33" t="s">
        <v>90</v>
      </c>
      <c r="F21" s="33" t="s">
        <v>111</v>
      </c>
    </row>
    <row r="22" spans="4:6" x14ac:dyDescent="0.25">
      <c r="D22" s="33" t="s">
        <v>52</v>
      </c>
      <c r="E22" s="33" t="s">
        <v>91</v>
      </c>
      <c r="F22" s="33" t="s">
        <v>111</v>
      </c>
    </row>
    <row r="23" spans="4:6" ht="13" x14ac:dyDescent="0.3">
      <c r="D23" s="33" t="s">
        <v>32</v>
      </c>
      <c r="E23" s="33" t="s">
        <v>116</v>
      </c>
      <c r="F23" s="33"/>
    </row>
    <row r="24" spans="4:6" x14ac:dyDescent="0.25">
      <c r="D24" s="33" t="s">
        <v>53</v>
      </c>
      <c r="E24" s="33" t="s">
        <v>92</v>
      </c>
      <c r="F24" s="33" t="s">
        <v>111</v>
      </c>
    </row>
    <row r="25" spans="4:6" x14ac:dyDescent="0.25">
      <c r="D25" s="33" t="s">
        <v>54</v>
      </c>
      <c r="E25" s="33" t="s">
        <v>93</v>
      </c>
      <c r="F25" s="33" t="s">
        <v>111</v>
      </c>
    </row>
    <row r="26" spans="4:6" x14ac:dyDescent="0.25">
      <c r="D26" s="33" t="s">
        <v>75</v>
      </c>
      <c r="E26" s="33" t="s">
        <v>105</v>
      </c>
      <c r="F26" s="33" t="s">
        <v>112</v>
      </c>
    </row>
    <row r="27" spans="4:6" x14ac:dyDescent="0.25">
      <c r="D27" s="33" t="s">
        <v>55</v>
      </c>
      <c r="E27" s="33" t="s">
        <v>94</v>
      </c>
      <c r="F27" s="33" t="s">
        <v>111</v>
      </c>
    </row>
    <row r="28" spans="4:6" ht="13" x14ac:dyDescent="0.3">
      <c r="D28" s="33" t="s">
        <v>38</v>
      </c>
      <c r="E28" s="33" t="s">
        <v>120</v>
      </c>
      <c r="F28" s="33" t="s">
        <v>29</v>
      </c>
    </row>
    <row r="29" spans="4:6" ht="13" x14ac:dyDescent="0.3">
      <c r="D29" s="33" t="s">
        <v>56</v>
      </c>
      <c r="E29" s="33" t="s">
        <v>125</v>
      </c>
      <c r="F29" s="33" t="s">
        <v>111</v>
      </c>
    </row>
    <row r="30" spans="4:6" ht="13" x14ac:dyDescent="0.3">
      <c r="D30" s="33" t="s">
        <v>57</v>
      </c>
      <c r="E30" s="33" t="s">
        <v>126</v>
      </c>
      <c r="F30" s="33" t="s">
        <v>111</v>
      </c>
    </row>
    <row r="31" spans="4:6" ht="13" x14ac:dyDescent="0.3">
      <c r="D31" s="33" t="s">
        <v>59</v>
      </c>
      <c r="E31" s="33" t="s">
        <v>128</v>
      </c>
      <c r="F31" s="33" t="s">
        <v>111</v>
      </c>
    </row>
    <row r="32" spans="4:6" ht="13" x14ac:dyDescent="0.3">
      <c r="D32" s="33" t="s">
        <v>58</v>
      </c>
      <c r="E32" s="33" t="s">
        <v>127</v>
      </c>
      <c r="F32" s="33" t="s">
        <v>111</v>
      </c>
    </row>
    <row r="33" spans="4:6" ht="13" x14ac:dyDescent="0.3">
      <c r="D33" s="33" t="s">
        <v>39</v>
      </c>
      <c r="E33" s="33" t="s">
        <v>121</v>
      </c>
      <c r="F33" s="33" t="s">
        <v>29</v>
      </c>
    </row>
    <row r="34" spans="4:6" ht="13" x14ac:dyDescent="0.3">
      <c r="D34" s="33" t="s">
        <v>40</v>
      </c>
      <c r="E34" s="33" t="s">
        <v>122</v>
      </c>
      <c r="F34" s="33" t="s">
        <v>29</v>
      </c>
    </row>
    <row r="35" spans="4:6" x14ac:dyDescent="0.25">
      <c r="D35" s="33" t="s">
        <v>114</v>
      </c>
      <c r="E35" s="33" t="s">
        <v>134</v>
      </c>
      <c r="F35" s="33" t="s">
        <v>135</v>
      </c>
    </row>
    <row r="36" spans="4:6" ht="13" x14ac:dyDescent="0.3">
      <c r="D36" s="33" t="s">
        <v>60</v>
      </c>
      <c r="E36" s="33" t="s">
        <v>129</v>
      </c>
      <c r="F36" s="33" t="s">
        <v>111</v>
      </c>
    </row>
    <row r="37" spans="4:6" x14ac:dyDescent="0.25">
      <c r="D37" s="33" t="s">
        <v>61</v>
      </c>
      <c r="E37" s="33" t="s">
        <v>95</v>
      </c>
      <c r="F37" s="33" t="s">
        <v>111</v>
      </c>
    </row>
    <row r="38" spans="4:6" ht="13" x14ac:dyDescent="0.3">
      <c r="D38" s="33" t="s">
        <v>33</v>
      </c>
      <c r="E38" s="33" t="s">
        <v>117</v>
      </c>
      <c r="F38" s="33"/>
    </row>
    <row r="39" spans="4:6" ht="13" x14ac:dyDescent="0.3">
      <c r="D39" s="33" t="s">
        <v>62</v>
      </c>
      <c r="E39" s="33" t="s">
        <v>130</v>
      </c>
      <c r="F39" s="33" t="s">
        <v>111</v>
      </c>
    </row>
    <row r="40" spans="4:6" x14ac:dyDescent="0.25">
      <c r="D40" s="33" t="s">
        <v>63</v>
      </c>
      <c r="E40" s="33" t="s">
        <v>96</v>
      </c>
      <c r="F40" s="33" t="s">
        <v>111</v>
      </c>
    </row>
    <row r="41" spans="4:6" x14ac:dyDescent="0.25">
      <c r="D41" s="33" t="s">
        <v>34</v>
      </c>
      <c r="E41" s="33" t="s">
        <v>81</v>
      </c>
      <c r="F41" s="33" t="s">
        <v>113</v>
      </c>
    </row>
    <row r="42" spans="4:6" x14ac:dyDescent="0.25">
      <c r="D42" s="33" t="s">
        <v>76</v>
      </c>
      <c r="E42" s="33" t="s">
        <v>106</v>
      </c>
      <c r="F42" s="33" t="s">
        <v>112</v>
      </c>
    </row>
    <row r="43" spans="4:6" x14ac:dyDescent="0.25">
      <c r="D43" s="33" t="s">
        <v>64</v>
      </c>
      <c r="E43" s="33" t="s">
        <v>97</v>
      </c>
      <c r="F43" s="33" t="s">
        <v>111</v>
      </c>
    </row>
    <row r="44" spans="4:6" ht="13" x14ac:dyDescent="0.3">
      <c r="D44" s="33" t="s">
        <v>65</v>
      </c>
      <c r="E44" s="33" t="s">
        <v>131</v>
      </c>
      <c r="F44" s="33" t="s">
        <v>111</v>
      </c>
    </row>
    <row r="45" spans="4:6" ht="13" x14ac:dyDescent="0.3">
      <c r="D45" s="33" t="s">
        <v>66</v>
      </c>
      <c r="E45" s="33" t="s">
        <v>132</v>
      </c>
      <c r="F45" s="33" t="s">
        <v>111</v>
      </c>
    </row>
    <row r="46" spans="4:6" x14ac:dyDescent="0.25">
      <c r="D46" s="33" t="s">
        <v>41</v>
      </c>
      <c r="E46" s="33" t="s">
        <v>82</v>
      </c>
      <c r="F46" s="33" t="s">
        <v>29</v>
      </c>
    </row>
    <row r="47" spans="4:6" ht="13" x14ac:dyDescent="0.3">
      <c r="D47" s="33" t="s">
        <v>42</v>
      </c>
      <c r="E47" s="33" t="s">
        <v>123</v>
      </c>
      <c r="F47" s="33" t="s">
        <v>29</v>
      </c>
    </row>
    <row r="48" spans="4:6" x14ac:dyDescent="0.25">
      <c r="D48" s="33" t="s">
        <v>77</v>
      </c>
      <c r="E48" s="33" t="s">
        <v>107</v>
      </c>
      <c r="F48" s="33" t="s">
        <v>112</v>
      </c>
    </row>
    <row r="49" spans="4:6" ht="13" x14ac:dyDescent="0.3">
      <c r="D49" s="33" t="s">
        <v>67</v>
      </c>
      <c r="E49" s="33" t="s">
        <v>133</v>
      </c>
      <c r="F49" s="33" t="s">
        <v>111</v>
      </c>
    </row>
    <row r="50" spans="4:6" x14ac:dyDescent="0.25">
      <c r="D50" s="33" t="s">
        <v>78</v>
      </c>
      <c r="E50" s="33" t="s">
        <v>108</v>
      </c>
      <c r="F50" s="33" t="s">
        <v>112</v>
      </c>
    </row>
    <row r="51" spans="4:6" x14ac:dyDescent="0.25">
      <c r="D51" s="33" t="s">
        <v>79</v>
      </c>
      <c r="E51" s="33" t="s">
        <v>109</v>
      </c>
      <c r="F51" s="33" t="s">
        <v>112</v>
      </c>
    </row>
    <row r="52" spans="4:6" x14ac:dyDescent="0.25">
      <c r="D52" s="33" t="s">
        <v>80</v>
      </c>
      <c r="E52" s="33" t="s">
        <v>110</v>
      </c>
      <c r="F52" s="33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5840A-7A68-4A08-86D1-B694B48204B0}">
  <sheetPr>
    <pageSetUpPr fitToPage="1"/>
  </sheetPr>
  <dimension ref="A1:AB59"/>
  <sheetViews>
    <sheetView tabSelected="1" zoomScaleNormal="100" workbookViewId="0">
      <selection activeCell="B4" sqref="B4"/>
    </sheetView>
  </sheetViews>
  <sheetFormatPr defaultColWidth="8.81640625" defaultRowHeight="12.5" x14ac:dyDescent="0.25"/>
  <cols>
    <col min="1" max="1" width="25.81640625" customWidth="1"/>
    <col min="2" max="2" width="24" customWidth="1"/>
    <col min="3" max="3" width="7.1796875" style="2" customWidth="1"/>
    <col min="4" max="4" width="6.1796875" style="2" customWidth="1"/>
    <col min="5" max="5" width="6.54296875" style="2" customWidth="1"/>
    <col min="6" max="6" width="6.54296875" customWidth="1"/>
    <col min="7" max="8" width="6.81640625" style="2" customWidth="1"/>
    <col min="9" max="9" width="7.453125" style="2" customWidth="1"/>
    <col min="10" max="10" width="32.453125" customWidth="1"/>
    <col min="27" max="27" width="15.1796875" bestFit="1" customWidth="1"/>
  </cols>
  <sheetData>
    <row r="1" spans="1:28" ht="72.75" customHeight="1" thickBot="1" x14ac:dyDescent="0.4">
      <c r="A1" s="44"/>
      <c r="B1" s="44"/>
      <c r="C1" s="44"/>
      <c r="D1" s="44"/>
      <c r="E1" s="44"/>
      <c r="F1" s="45" t="s">
        <v>136</v>
      </c>
      <c r="G1" s="46"/>
      <c r="H1" s="46"/>
      <c r="I1" s="46"/>
      <c r="J1" s="46"/>
    </row>
    <row r="2" spans="1:28" ht="15.5" x14ac:dyDescent="0.35">
      <c r="B2" s="5"/>
      <c r="C2" s="13"/>
      <c r="D2" s="13"/>
      <c r="E2" s="13"/>
      <c r="F2" s="5"/>
      <c r="G2" s="13"/>
      <c r="H2" s="13"/>
      <c r="I2" s="13"/>
      <c r="J2" s="5"/>
      <c r="AA2" t="str" cm="1">
        <f t="array" ref="AA2">IFERROR(_xlfn.UNIQUE(_xlfn._xlws.FILTER(J7:J37,J7:J37&lt;&gt;"")),"")</f>
        <v/>
      </c>
      <c r="AB2">
        <f>COUNTA(AA:AA)</f>
        <v>1</v>
      </c>
    </row>
    <row r="3" spans="1:28" ht="15.5" x14ac:dyDescent="0.35">
      <c r="A3" s="47" t="s">
        <v>12</v>
      </c>
      <c r="B3" s="47"/>
      <c r="C3" s="47"/>
      <c r="D3" s="47"/>
      <c r="E3" s="47"/>
      <c r="F3" s="47"/>
      <c r="G3" s="47"/>
      <c r="H3" s="47"/>
      <c r="I3" s="47"/>
      <c r="J3" s="47"/>
    </row>
    <row r="4" spans="1:28" ht="20.25" customHeight="1" x14ac:dyDescent="0.3">
      <c r="A4" s="1" t="s">
        <v>0</v>
      </c>
      <c r="B4" s="56" t="s">
        <v>144</v>
      </c>
      <c r="C4" s="48" t="s">
        <v>13</v>
      </c>
      <c r="D4" s="48"/>
      <c r="E4" s="48"/>
      <c r="F4" s="49">
        <v>2024</v>
      </c>
      <c r="G4" s="49"/>
      <c r="M4" s="34"/>
    </row>
    <row r="5" spans="1:28" ht="21" customHeight="1" x14ac:dyDescent="0.4">
      <c r="A5" s="3"/>
      <c r="B5" s="4"/>
      <c r="C5" s="14"/>
      <c r="D5" s="14"/>
      <c r="E5" s="16" t="s">
        <v>7</v>
      </c>
      <c r="F5" s="4"/>
      <c r="G5" s="14"/>
      <c r="H5" s="14"/>
      <c r="I5" s="14"/>
      <c r="J5" s="3" t="s">
        <v>26</v>
      </c>
      <c r="K5" s="1"/>
      <c r="L5" s="1"/>
      <c r="M5" s="19"/>
    </row>
    <row r="6" spans="1:28" s="2" customFormat="1" ht="13.5" thickBot="1" x14ac:dyDescent="0.35">
      <c r="A6" s="9" t="s">
        <v>1</v>
      </c>
      <c r="B6" s="10" t="s">
        <v>2</v>
      </c>
      <c r="C6" s="10" t="s">
        <v>3</v>
      </c>
      <c r="D6" s="10" t="s">
        <v>4</v>
      </c>
      <c r="E6" s="10" t="s">
        <v>140</v>
      </c>
      <c r="F6" s="10" t="s">
        <v>5</v>
      </c>
      <c r="G6" s="10" t="s">
        <v>6</v>
      </c>
      <c r="H6" s="10" t="s">
        <v>143</v>
      </c>
      <c r="I6" s="10" t="s">
        <v>8</v>
      </c>
      <c r="J6" s="11"/>
    </row>
    <row r="7" spans="1:28" x14ac:dyDescent="0.25">
      <c r="A7" s="43" t="str" cm="1">
        <f t="array" ref="A7:A37">IFERROR(
_xlfn.LET(
_xlpm.yr,$F$4,
_xlpm.mn,IF(ISNUMBER($C$4),$C$4,MONTH(1&amp;$C$4)),
_xlpm.first,DATE(_xlpm.yr,_xlpm.mn,1),
_xlpm.daysInMonth,DAY(EOMONTH(_xlpm.first,0)),
TEXT(_xlpm.first+_xlfn.SEQUENCE(_xlpm.daysInMonth)-1,"dddd, mmmm d, yyyy")
),
"")</f>
        <v>Monday, January 1, 2024</v>
      </c>
      <c r="B7" s="38"/>
      <c r="C7" s="39"/>
      <c r="D7" s="39"/>
      <c r="E7" s="39"/>
      <c r="F7" s="39"/>
      <c r="G7" s="39"/>
      <c r="H7" s="39"/>
      <c r="I7" s="39"/>
      <c r="J7" s="40"/>
    </row>
    <row r="8" spans="1:28" x14ac:dyDescent="0.25">
      <c r="A8" s="43" t="str">
        <v>Tuesday, January 2, 2024</v>
      </c>
      <c r="B8" s="38"/>
      <c r="C8" s="39"/>
      <c r="D8" s="39"/>
      <c r="E8" s="39"/>
      <c r="F8" s="39"/>
      <c r="G8" s="39"/>
      <c r="H8" s="39"/>
      <c r="I8" s="39"/>
      <c r="J8" s="40"/>
    </row>
    <row r="9" spans="1:28" x14ac:dyDescent="0.25">
      <c r="A9" s="43" t="str">
        <v>Wednesday, January 3, 2024</v>
      </c>
      <c r="B9" s="38"/>
      <c r="C9" s="39"/>
      <c r="D9" s="39"/>
      <c r="E9" s="39"/>
      <c r="F9" s="39"/>
      <c r="G9" s="39"/>
      <c r="H9" s="39"/>
      <c r="I9" s="39"/>
      <c r="J9" s="40"/>
    </row>
    <row r="10" spans="1:28" x14ac:dyDescent="0.25">
      <c r="A10" s="43" t="str">
        <v>Thursday, January 4, 2024</v>
      </c>
      <c r="B10" s="38"/>
      <c r="C10" s="39"/>
      <c r="D10" s="39"/>
      <c r="E10" s="39"/>
      <c r="F10" s="39"/>
      <c r="G10" s="39"/>
      <c r="H10" s="39"/>
      <c r="I10" s="39"/>
      <c r="J10" s="40"/>
    </row>
    <row r="11" spans="1:28" x14ac:dyDescent="0.25">
      <c r="A11" s="43" t="str">
        <v>Friday, January 5, 2024</v>
      </c>
      <c r="B11" s="38"/>
      <c r="C11" s="39"/>
      <c r="D11" s="39"/>
      <c r="E11" s="39"/>
      <c r="F11" s="39"/>
      <c r="G11" s="39"/>
      <c r="H11" s="39"/>
      <c r="I11" s="39"/>
      <c r="J11" s="40"/>
    </row>
    <row r="12" spans="1:28" x14ac:dyDescent="0.25">
      <c r="A12" s="43" t="str">
        <v>Saturday, January 6, 2024</v>
      </c>
      <c r="B12" s="38"/>
      <c r="C12" s="39"/>
      <c r="D12" s="39"/>
      <c r="E12" s="39"/>
      <c r="F12" s="39"/>
      <c r="G12" s="39"/>
      <c r="H12" s="39"/>
      <c r="I12" s="39"/>
      <c r="J12" s="40"/>
    </row>
    <row r="13" spans="1:28" x14ac:dyDescent="0.25">
      <c r="A13" s="43" t="str">
        <v>Sunday, January 7, 2024</v>
      </c>
      <c r="B13" s="38"/>
      <c r="C13" s="39"/>
      <c r="D13" s="39"/>
      <c r="E13" s="39"/>
      <c r="F13" s="39"/>
      <c r="G13" s="39"/>
      <c r="H13" s="39"/>
      <c r="I13" s="39"/>
      <c r="J13" s="40"/>
    </row>
    <row r="14" spans="1:28" x14ac:dyDescent="0.25">
      <c r="A14" s="43" t="str">
        <v>Monday, January 8, 2024</v>
      </c>
      <c r="B14" s="38"/>
      <c r="C14" s="39"/>
      <c r="D14" s="39"/>
      <c r="E14" s="39"/>
      <c r="F14" s="39"/>
      <c r="G14" s="39"/>
      <c r="H14" s="39"/>
      <c r="I14" s="39"/>
      <c r="J14" s="40"/>
    </row>
    <row r="15" spans="1:28" x14ac:dyDescent="0.25">
      <c r="A15" s="43" t="str">
        <v>Tuesday, January 9, 2024</v>
      </c>
      <c r="B15" s="38"/>
      <c r="C15" s="39"/>
      <c r="D15" s="39"/>
      <c r="E15" s="39"/>
      <c r="F15" s="39"/>
      <c r="G15" s="39"/>
      <c r="H15" s="39"/>
      <c r="I15" s="39"/>
      <c r="J15" s="40"/>
    </row>
    <row r="16" spans="1:28" x14ac:dyDescent="0.25">
      <c r="A16" s="43" t="str">
        <v>Wednesday, January 10, 2024</v>
      </c>
      <c r="B16" s="38"/>
      <c r="C16" s="39"/>
      <c r="D16" s="39"/>
      <c r="E16" s="39"/>
      <c r="F16" s="39"/>
      <c r="G16" s="39"/>
      <c r="H16" s="39"/>
      <c r="I16" s="39"/>
      <c r="J16" s="40"/>
    </row>
    <row r="17" spans="1:10" x14ac:dyDescent="0.25">
      <c r="A17" s="43" t="str">
        <v>Thursday, January 11, 2024</v>
      </c>
      <c r="B17" s="38"/>
      <c r="C17" s="39"/>
      <c r="D17" s="39"/>
      <c r="E17" s="39"/>
      <c r="F17" s="39"/>
      <c r="G17" s="39"/>
      <c r="H17" s="39"/>
      <c r="I17" s="39"/>
      <c r="J17" s="40"/>
    </row>
    <row r="18" spans="1:10" x14ac:dyDescent="0.25">
      <c r="A18" s="43" t="str">
        <v>Friday, January 12, 2024</v>
      </c>
      <c r="B18" s="38"/>
      <c r="C18" s="39"/>
      <c r="D18" s="39"/>
      <c r="E18" s="39"/>
      <c r="F18" s="39"/>
      <c r="G18" s="39"/>
      <c r="H18" s="39"/>
      <c r="I18" s="39"/>
      <c r="J18" s="40"/>
    </row>
    <row r="19" spans="1:10" x14ac:dyDescent="0.25">
      <c r="A19" s="43" t="str">
        <v>Saturday, January 13, 2024</v>
      </c>
      <c r="B19" s="38"/>
      <c r="C19" s="39"/>
      <c r="D19" s="39"/>
      <c r="E19" s="39"/>
      <c r="F19" s="39"/>
      <c r="G19" s="39"/>
      <c r="H19" s="39"/>
      <c r="I19" s="39"/>
      <c r="J19" s="40"/>
    </row>
    <row r="20" spans="1:10" x14ac:dyDescent="0.25">
      <c r="A20" s="43" t="str">
        <v>Sunday, January 14, 2024</v>
      </c>
      <c r="B20" s="38"/>
      <c r="C20" s="39"/>
      <c r="D20" s="39"/>
      <c r="E20" s="39"/>
      <c r="F20" s="39"/>
      <c r="G20" s="39"/>
      <c r="H20" s="39"/>
      <c r="I20" s="39"/>
      <c r="J20" s="40"/>
    </row>
    <row r="21" spans="1:10" x14ac:dyDescent="0.25">
      <c r="A21" s="43" t="str">
        <v>Monday, January 15, 2024</v>
      </c>
      <c r="B21" s="38"/>
      <c r="C21" s="39"/>
      <c r="D21" s="39"/>
      <c r="E21" s="39"/>
      <c r="F21" s="39"/>
      <c r="G21" s="39"/>
      <c r="H21" s="39"/>
      <c r="I21" s="39"/>
      <c r="J21" s="40"/>
    </row>
    <row r="22" spans="1:10" x14ac:dyDescent="0.25">
      <c r="A22" s="43" t="str">
        <v>Tuesday, January 16, 2024</v>
      </c>
      <c r="B22" s="38"/>
      <c r="C22" s="39"/>
      <c r="D22" s="39"/>
      <c r="E22" s="39"/>
      <c r="F22" s="39"/>
      <c r="G22" s="39"/>
      <c r="H22" s="39"/>
      <c r="I22" s="39"/>
      <c r="J22" s="40"/>
    </row>
    <row r="23" spans="1:10" x14ac:dyDescent="0.25">
      <c r="A23" s="43" t="str">
        <v>Wednesday, January 17, 2024</v>
      </c>
      <c r="B23" s="38"/>
      <c r="C23" s="39"/>
      <c r="D23" s="39"/>
      <c r="E23" s="39"/>
      <c r="F23" s="39"/>
      <c r="G23" s="39"/>
      <c r="H23" s="39"/>
      <c r="I23" s="39"/>
      <c r="J23" s="40"/>
    </row>
    <row r="24" spans="1:10" x14ac:dyDescent="0.25">
      <c r="A24" s="43" t="str">
        <v>Thursday, January 18, 2024</v>
      </c>
      <c r="B24" s="38"/>
      <c r="C24" s="39"/>
      <c r="D24" s="39"/>
      <c r="E24" s="39"/>
      <c r="F24" s="39"/>
      <c r="G24" s="39"/>
      <c r="H24" s="39"/>
      <c r="I24" s="39"/>
      <c r="J24" s="40"/>
    </row>
    <row r="25" spans="1:10" x14ac:dyDescent="0.25">
      <c r="A25" s="43" t="str">
        <v>Friday, January 19, 2024</v>
      </c>
      <c r="B25" s="38"/>
      <c r="C25" s="39"/>
      <c r="D25" s="39"/>
      <c r="E25" s="39"/>
      <c r="F25" s="39"/>
      <c r="G25" s="39"/>
      <c r="H25" s="39"/>
      <c r="I25" s="39"/>
      <c r="J25" s="40"/>
    </row>
    <row r="26" spans="1:10" x14ac:dyDescent="0.25">
      <c r="A26" s="43" t="str">
        <v>Saturday, January 20, 2024</v>
      </c>
      <c r="B26" s="38"/>
      <c r="C26" s="39"/>
      <c r="D26" s="39"/>
      <c r="E26" s="39"/>
      <c r="F26" s="39"/>
      <c r="G26" s="39"/>
      <c r="H26" s="39"/>
      <c r="I26" s="39"/>
      <c r="J26" s="40"/>
    </row>
    <row r="27" spans="1:10" x14ac:dyDescent="0.25">
      <c r="A27" s="43" t="str">
        <v>Sunday, January 21, 2024</v>
      </c>
      <c r="B27" s="38"/>
      <c r="C27" s="39"/>
      <c r="D27" s="39"/>
      <c r="E27" s="39"/>
      <c r="F27" s="39"/>
      <c r="G27" s="39"/>
      <c r="H27" s="39"/>
      <c r="I27" s="39"/>
      <c r="J27" s="40"/>
    </row>
    <row r="28" spans="1:10" x14ac:dyDescent="0.25">
      <c r="A28" s="43" t="str">
        <v>Monday, January 22, 2024</v>
      </c>
      <c r="B28" s="38"/>
      <c r="C28" s="39"/>
      <c r="D28" s="39"/>
      <c r="E28" s="39"/>
      <c r="F28" s="39"/>
      <c r="G28" s="39"/>
      <c r="H28" s="39"/>
      <c r="I28" s="39"/>
      <c r="J28" s="40"/>
    </row>
    <row r="29" spans="1:10" x14ac:dyDescent="0.25">
      <c r="A29" s="43" t="str">
        <v>Tuesday, January 23, 2024</v>
      </c>
      <c r="B29" s="38"/>
      <c r="C29" s="39"/>
      <c r="D29" s="39"/>
      <c r="E29" s="39"/>
      <c r="F29" s="39"/>
      <c r="G29" s="39"/>
      <c r="H29" s="39"/>
      <c r="I29" s="39"/>
      <c r="J29" s="40"/>
    </row>
    <row r="30" spans="1:10" x14ac:dyDescent="0.25">
      <c r="A30" s="43" t="str">
        <v>Wednesday, January 24, 2024</v>
      </c>
      <c r="B30" s="38"/>
      <c r="C30" s="39"/>
      <c r="D30" s="39"/>
      <c r="E30" s="39"/>
      <c r="F30" s="39"/>
      <c r="G30" s="39"/>
      <c r="H30" s="39"/>
      <c r="I30" s="39"/>
      <c r="J30" s="40"/>
    </row>
    <row r="31" spans="1:10" x14ac:dyDescent="0.25">
      <c r="A31" s="43" t="str">
        <v>Thursday, January 25, 2024</v>
      </c>
      <c r="B31" s="38"/>
      <c r="C31" s="39"/>
      <c r="D31" s="39"/>
      <c r="E31" s="39"/>
      <c r="F31" s="39"/>
      <c r="G31" s="39"/>
      <c r="H31" s="39"/>
      <c r="I31" s="39"/>
      <c r="J31" s="40"/>
    </row>
    <row r="32" spans="1:10" x14ac:dyDescent="0.25">
      <c r="A32" s="43" t="str">
        <v>Friday, January 26, 2024</v>
      </c>
      <c r="B32" s="38"/>
      <c r="C32" s="39"/>
      <c r="D32" s="39"/>
      <c r="E32" s="39"/>
      <c r="F32" s="39"/>
      <c r="G32" s="39"/>
      <c r="H32" s="39"/>
      <c r="I32" s="39"/>
      <c r="J32" s="40"/>
    </row>
    <row r="33" spans="1:10" x14ac:dyDescent="0.25">
      <c r="A33" s="43" t="str">
        <v>Saturday, January 27, 2024</v>
      </c>
      <c r="B33" s="38"/>
      <c r="C33" s="39"/>
      <c r="D33" s="39"/>
      <c r="E33" s="39"/>
      <c r="F33" s="39"/>
      <c r="G33" s="39"/>
      <c r="H33" s="39"/>
      <c r="I33" s="39"/>
      <c r="J33" s="40"/>
    </row>
    <row r="34" spans="1:10" x14ac:dyDescent="0.25">
      <c r="A34" s="43" t="str">
        <v>Sunday, January 28, 2024</v>
      </c>
      <c r="B34" s="38"/>
      <c r="C34" s="39"/>
      <c r="D34" s="39"/>
      <c r="E34" s="39"/>
      <c r="F34" s="39"/>
      <c r="G34" s="39"/>
      <c r="H34" s="39"/>
      <c r="I34" s="39"/>
      <c r="J34" s="40"/>
    </row>
    <row r="35" spans="1:10" x14ac:dyDescent="0.25">
      <c r="A35" s="43" t="str">
        <v>Monday, January 29, 2024</v>
      </c>
      <c r="B35" s="38"/>
      <c r="C35" s="39"/>
      <c r="D35" s="39"/>
      <c r="E35" s="39"/>
      <c r="F35" s="39"/>
      <c r="G35" s="39"/>
      <c r="H35" s="39"/>
      <c r="I35" s="39"/>
      <c r="J35" s="40"/>
    </row>
    <row r="36" spans="1:10" x14ac:dyDescent="0.25">
      <c r="A36" s="43" t="str">
        <v>Tuesday, January 30, 2024</v>
      </c>
      <c r="B36" s="38"/>
      <c r="C36" s="39"/>
      <c r="D36" s="39"/>
      <c r="E36" s="39"/>
      <c r="F36" s="39"/>
      <c r="G36" s="39"/>
      <c r="H36" s="39"/>
      <c r="I36" s="39"/>
      <c r="J36" s="40"/>
    </row>
    <row r="37" spans="1:10" x14ac:dyDescent="0.25">
      <c r="A37" s="43" t="str">
        <v>Wednesday, January 31, 2024</v>
      </c>
      <c r="B37" s="38"/>
      <c r="C37" s="39"/>
      <c r="D37" s="39"/>
      <c r="E37" s="39"/>
      <c r="F37" s="39"/>
      <c r="G37" s="39"/>
      <c r="H37" s="39"/>
      <c r="I37" s="39"/>
      <c r="J37" s="40"/>
    </row>
    <row r="38" spans="1:10" x14ac:dyDescent="0.25">
      <c r="A38" s="25"/>
      <c r="B38" s="27"/>
      <c r="C38" s="26"/>
      <c r="D38" s="26"/>
      <c r="E38" s="26"/>
      <c r="F38" s="26"/>
      <c r="G38" s="26"/>
      <c r="H38" s="26"/>
      <c r="I38" s="26"/>
      <c r="J38" s="26"/>
    </row>
    <row r="39" spans="1:10" ht="13" x14ac:dyDescent="0.3">
      <c r="A39" s="19"/>
      <c r="B39" s="28"/>
      <c r="C39" s="14"/>
      <c r="D39" s="14"/>
      <c r="E39" s="14"/>
      <c r="F39" s="29"/>
      <c r="G39" s="14"/>
      <c r="H39" s="14"/>
      <c r="I39" s="14"/>
      <c r="J39" s="2"/>
    </row>
    <row r="40" spans="1:10" ht="13" x14ac:dyDescent="0.3">
      <c r="A40" s="30"/>
      <c r="B40" s="8" t="str">
        <f>C4&amp;" "&amp;F4&amp;" HOURS"</f>
        <v>January 2024 HOURS</v>
      </c>
      <c r="C40" s="15">
        <f t="shared" ref="C40:I40" si="0">SUM(C7:C39)</f>
        <v>0</v>
      </c>
      <c r="D40" s="7">
        <f t="shared" si="0"/>
        <v>0</v>
      </c>
      <c r="E40" s="15">
        <f t="shared" si="0"/>
        <v>0</v>
      </c>
      <c r="F40" s="7">
        <f t="shared" si="0"/>
        <v>0</v>
      </c>
      <c r="G40" s="15">
        <f t="shared" si="0"/>
        <v>0</v>
      </c>
      <c r="H40" s="7">
        <f t="shared" si="0"/>
        <v>0</v>
      </c>
      <c r="I40" s="7">
        <f t="shared" si="0"/>
        <v>0</v>
      </c>
      <c r="J40" s="24"/>
    </row>
    <row r="44" spans="1:10" x14ac:dyDescent="0.25">
      <c r="A44" t="str">
        <f>IFERROR(IF(A45="","","X"),"")</f>
        <v/>
      </c>
      <c r="F44" s="52" t="str">
        <f>IFERROR(IF(F45="","","X"),"")</f>
        <v/>
      </c>
      <c r="G44" s="52" t="str">
        <f>IFERROR(IF(G45="","","X"),"")</f>
        <v/>
      </c>
      <c r="H44" s="52" t="str">
        <f>IFERROR(IF(H45="","","X"),"")</f>
        <v/>
      </c>
      <c r="I44" s="52" t="str">
        <f>IFERROR(IF(I45="","","X"),"")</f>
        <v/>
      </c>
    </row>
    <row r="45" spans="1:10" x14ac:dyDescent="0.25">
      <c r="A45" s="33" t="str">
        <f>IFERROR(IF(AB2&gt;0,AA2,""),"")</f>
        <v/>
      </c>
      <c r="F45" s="51" t="str">
        <f>IFERROR(IF(AB$2&gt;1,AA3,""),"")</f>
        <v/>
      </c>
      <c r="G45" s="51"/>
      <c r="H45" s="51"/>
      <c r="I45" s="51"/>
    </row>
    <row r="46" spans="1:10" x14ac:dyDescent="0.25">
      <c r="A46" s="33" t="str">
        <f>IFERROR(VLOOKUP(A45,Sheet1!$D$2:$F$52,3,TRUE),"")</f>
        <v/>
      </c>
      <c r="F46" s="51" t="str">
        <f>IFERROR(VLOOKUP(F45,Sheet1!$D$2:$F$52,3,TRUE),"")</f>
        <v/>
      </c>
      <c r="G46" s="51" t="str">
        <f>IFERROR(VLOOKUP(G45,Sheet1!$D$2:$F$52,3,TRUE),"")</f>
        <v/>
      </c>
      <c r="H46" s="51" t="str">
        <f>IFERROR(VLOOKUP(H45,Sheet1!$D$2:$F$52,3,TRUE),"")</f>
        <v/>
      </c>
      <c r="I46" s="51" t="str">
        <f>IFERROR(VLOOKUP(I45,Sheet1!$D$2:$F$52,3,TRUE),"")</f>
        <v/>
      </c>
    </row>
    <row r="47" spans="1:10" x14ac:dyDescent="0.25">
      <c r="A47" t="str">
        <f>IFERROR(VLOOKUP(A45,Sheet1!$D$2:$F$52,2,TRUE),"")</f>
        <v/>
      </c>
      <c r="F47" s="50" t="str">
        <f>IFERROR(VLOOKUP(F45,Sheet1!$D$2:$F$52,2,TRUE),"")</f>
        <v/>
      </c>
      <c r="G47" s="50" t="str">
        <f>IFERROR(VLOOKUP(G45,Sheet1!$D$2:$F$52,2,TRUE),"")</f>
        <v/>
      </c>
      <c r="H47" s="50" t="str">
        <f>IFERROR(VLOOKUP(H45,Sheet1!$D$2:$F$52,2,TRUE),"")</f>
        <v/>
      </c>
      <c r="I47" s="50" t="str">
        <f>IFERROR(VLOOKUP(I45,Sheet1!$D$2:$F$52,2,TRUE),"")</f>
        <v/>
      </c>
    </row>
    <row r="50" spans="1:9" x14ac:dyDescent="0.25">
      <c r="A50" t="str">
        <f>IFERROR(IF(A51="","","X"),"")</f>
        <v/>
      </c>
      <c r="F50" s="50" t="str">
        <f>IFERROR(IF(F51="","","X"),"")</f>
        <v/>
      </c>
      <c r="G50" s="50"/>
      <c r="H50" s="50"/>
      <c r="I50" s="50"/>
    </row>
    <row r="51" spans="1:9" x14ac:dyDescent="0.25">
      <c r="A51" s="33" t="str">
        <f>IFERROR(IF(AB2&gt;2,AA4,""),"")</f>
        <v/>
      </c>
      <c r="F51" s="51" t="str">
        <f>IFERROR(IF(AB2&gt;3,AA5,""),"")</f>
        <v/>
      </c>
      <c r="G51" s="51"/>
      <c r="H51" s="51"/>
      <c r="I51" s="51"/>
    </row>
    <row r="52" spans="1:9" x14ac:dyDescent="0.25">
      <c r="A52" s="33" t="str">
        <f>IFERROR(VLOOKUP(A51,Sheet1!$D$2:$F$52,3,TRUE),"")</f>
        <v/>
      </c>
      <c r="F52" s="51" t="str">
        <f>IFERROR(VLOOKUP(F51,Sheet1!$D$2:$F$52,3,TRUE),"")</f>
        <v/>
      </c>
      <c r="G52" s="51"/>
      <c r="H52" s="51"/>
      <c r="I52" s="51"/>
    </row>
    <row r="53" spans="1:9" x14ac:dyDescent="0.25">
      <c r="A53" t="str">
        <f>IFERROR(VLOOKUP(A51,Sheet1!$D$2:$F$52,2,TRUE),"")</f>
        <v/>
      </c>
      <c r="F53" s="50" t="str">
        <f>IFERROR(VLOOKUP(F51,Sheet1!$D$2:$F$52,2,TRUE),"")</f>
        <v/>
      </c>
      <c r="G53" s="50"/>
      <c r="H53" s="50"/>
      <c r="I53" s="50"/>
    </row>
    <row r="56" spans="1:9" x14ac:dyDescent="0.25">
      <c r="A56" t="str">
        <f>IFERROR(IF(A57="","","X"),"")</f>
        <v/>
      </c>
      <c r="F56" s="50" t="str">
        <f>IFERROR(IF(F57="","","X"),"")</f>
        <v/>
      </c>
      <c r="G56" s="50"/>
      <c r="H56" s="50"/>
      <c r="I56" s="50"/>
    </row>
    <row r="57" spans="1:9" x14ac:dyDescent="0.25">
      <c r="A57" t="str">
        <f>IFERROR(IF(AB2&gt;4,AA6,""),"")</f>
        <v/>
      </c>
      <c r="F57" s="51" t="str">
        <f>IFERROR(IF(AB2&gt;5,AA7,""),"")</f>
        <v/>
      </c>
      <c r="G57" s="51"/>
      <c r="H57" s="51"/>
      <c r="I57" s="51"/>
    </row>
    <row r="58" spans="1:9" x14ac:dyDescent="0.25">
      <c r="A58" t="str">
        <f>IFERROR(VLOOKUP(A57,Sheet1!$D$2:$F$52,3,TRUE),"")</f>
        <v/>
      </c>
      <c r="F58" s="51" t="str">
        <f>IFERROR(VLOOKUP(F57,Sheet1!$D$2:$F$52,3,TRUE),"")</f>
        <v/>
      </c>
      <c r="G58" s="51"/>
      <c r="H58" s="51"/>
      <c r="I58" s="51"/>
    </row>
    <row r="59" spans="1:9" x14ac:dyDescent="0.25">
      <c r="A59" t="str">
        <f>IFERROR(VLOOKUP(A57,Sheet1!$D$2:$F$52,2,TRUE),"")</f>
        <v/>
      </c>
      <c r="F59" s="50" t="str">
        <f>IFERROR(VLOOKUP(F57,Sheet1!$D$2:$F$52,2,TRUE),"")</f>
        <v/>
      </c>
      <c r="G59" s="50"/>
      <c r="H59" s="50"/>
      <c r="I59" s="50"/>
    </row>
  </sheetData>
  <sheetProtection algorithmName="SHA-512" hashValue="b0aTS0jURtsErJdpl2sdaXykf9giR099cQWda6GGU1dhtH0mzEBV/8SAT9Kl5WMsoO/M647YjY1HmSOsn2reAA==" saltValue="FWVYYwkr2mndXCM2OJ9fOA==" spinCount="100000" sheet="1" objects="1" scenarios="1"/>
  <mergeCells count="17">
    <mergeCell ref="F56:I56"/>
    <mergeCell ref="F57:I57"/>
    <mergeCell ref="F58:I58"/>
    <mergeCell ref="F59:I59"/>
    <mergeCell ref="F44:I44"/>
    <mergeCell ref="F45:I45"/>
    <mergeCell ref="F46:I46"/>
    <mergeCell ref="F47:I47"/>
    <mergeCell ref="F51:I51"/>
    <mergeCell ref="F52:I52"/>
    <mergeCell ref="F53:I53"/>
    <mergeCell ref="F50:I50"/>
    <mergeCell ref="A1:E1"/>
    <mergeCell ref="F1:J1"/>
    <mergeCell ref="A3:J3"/>
    <mergeCell ref="C4:E4"/>
    <mergeCell ref="F4:G4"/>
  </mergeCells>
  <phoneticPr fontId="5" type="noConversion"/>
  <conditionalFormatting sqref="A44:B44">
    <cfRule type="expression" dxfId="71" priority="6" stopIfTrue="1">
      <formula>$A$45&lt;&gt;""</formula>
    </cfRule>
  </conditionalFormatting>
  <conditionalFormatting sqref="A50:B50">
    <cfRule type="expression" dxfId="70" priority="4" stopIfTrue="1">
      <formula>$A$51&lt;&gt;""</formula>
    </cfRule>
  </conditionalFormatting>
  <conditionalFormatting sqref="A56:B56">
    <cfRule type="expression" dxfId="69" priority="2" stopIfTrue="1">
      <formula>$A$57&lt;&gt;""</formula>
    </cfRule>
  </conditionalFormatting>
  <conditionalFormatting sqref="F44:J44">
    <cfRule type="expression" dxfId="68" priority="5" stopIfTrue="1">
      <formula>$F$45&lt;&gt;""</formula>
    </cfRule>
  </conditionalFormatting>
  <conditionalFormatting sqref="F50:J50">
    <cfRule type="expression" dxfId="67" priority="3" stopIfTrue="1">
      <formula>$F$51&lt;&gt;""</formula>
    </cfRule>
  </conditionalFormatting>
  <conditionalFormatting sqref="F56:J56">
    <cfRule type="expression" dxfId="66" priority="1" stopIfTrue="1">
      <formula>$F$57&lt;&gt;""</formula>
    </cfRule>
  </conditionalFormatting>
  <pageMargins left="0.5" right="0.5" top="0.5" bottom="0.5" header="0.5" footer="0.5"/>
  <pageSetup scale="75" orientation="portrait" r:id="rId1"/>
  <headerFooter alignWithMargins="0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C172134-D7BA-497C-BA78-AFFA4BD23517}">
          <x14:formula1>
            <xm:f>Sheet1!$D:$D</xm:f>
          </x14:formula1>
          <xm:sqref>J7:J37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1273D-4392-45D0-B380-89D191C156D1}">
  <sheetPr>
    <pageSetUpPr fitToPage="1"/>
  </sheetPr>
  <dimension ref="A1:AB57"/>
  <sheetViews>
    <sheetView zoomScaleNormal="100" workbookViewId="0">
      <selection activeCell="B4" sqref="B4"/>
    </sheetView>
  </sheetViews>
  <sheetFormatPr defaultColWidth="8.81640625" defaultRowHeight="12.5" x14ac:dyDescent="0.25"/>
  <cols>
    <col min="1" max="1" width="26.54296875" bestFit="1" customWidth="1"/>
    <col min="2" max="2" width="24" customWidth="1"/>
    <col min="3" max="3" width="7.1796875" style="2" customWidth="1"/>
    <col min="4" max="4" width="6.1796875" style="2" customWidth="1"/>
    <col min="5" max="5" width="6.54296875" style="2" customWidth="1"/>
    <col min="6" max="6" width="6.54296875" customWidth="1"/>
    <col min="7" max="8" width="6.81640625" style="2" customWidth="1"/>
    <col min="9" max="9" width="7.453125" style="2" customWidth="1"/>
    <col min="10" max="10" width="32.453125" customWidth="1"/>
    <col min="27" max="27" width="15.1796875" bestFit="1" customWidth="1"/>
  </cols>
  <sheetData>
    <row r="1" spans="1:28" ht="72.75" customHeight="1" thickBot="1" x14ac:dyDescent="0.4">
      <c r="A1" s="44"/>
      <c r="B1" s="44"/>
      <c r="C1" s="44"/>
      <c r="D1" s="44"/>
      <c r="E1" s="44"/>
      <c r="F1" s="45" t="s">
        <v>137</v>
      </c>
      <c r="G1" s="46"/>
      <c r="H1" s="46"/>
      <c r="I1" s="46"/>
      <c r="J1" s="46"/>
    </row>
    <row r="2" spans="1:28" ht="15.5" x14ac:dyDescent="0.35">
      <c r="B2" s="5"/>
      <c r="C2" s="13"/>
      <c r="D2" s="13"/>
      <c r="E2" s="13"/>
      <c r="F2" s="5"/>
      <c r="G2" s="13"/>
      <c r="H2" s="13"/>
      <c r="I2" s="13"/>
      <c r="J2" s="5"/>
      <c r="AA2" t="str" cm="1">
        <f t="array" ref="AA2">IFERROR(_xlfn.UNIQUE(_xlfn._xlws.FILTER(J7:J35,J7:J35&lt;&gt;"")),"")</f>
        <v/>
      </c>
      <c r="AB2">
        <f>COUNTA(AA:AA)</f>
        <v>1</v>
      </c>
    </row>
    <row r="3" spans="1:28" ht="15.5" x14ac:dyDescent="0.35">
      <c r="A3" s="47" t="s">
        <v>12</v>
      </c>
      <c r="B3" s="47"/>
      <c r="C3" s="47"/>
      <c r="D3" s="47"/>
      <c r="E3" s="47"/>
      <c r="F3" s="47"/>
      <c r="G3" s="47"/>
      <c r="H3" s="47"/>
      <c r="I3" s="47"/>
      <c r="J3" s="47"/>
    </row>
    <row r="4" spans="1:28" ht="20.25" customHeight="1" x14ac:dyDescent="0.3">
      <c r="A4" s="1" t="s">
        <v>0</v>
      </c>
      <c r="B4" s="4" t="str">
        <f>IF(Jan!B4="","",Jan!B4)</f>
        <v>Your Name</v>
      </c>
      <c r="C4" s="48" t="s">
        <v>14</v>
      </c>
      <c r="D4" s="48"/>
      <c r="E4" s="48"/>
      <c r="F4" s="53">
        <f>Jan!F4</f>
        <v>2024</v>
      </c>
      <c r="G4" s="54"/>
    </row>
    <row r="5" spans="1:28" ht="21" customHeight="1" x14ac:dyDescent="0.4">
      <c r="A5" s="3"/>
      <c r="B5" s="4"/>
      <c r="C5" s="14"/>
      <c r="D5" s="14"/>
      <c r="E5" s="16" t="s">
        <v>7</v>
      </c>
      <c r="F5" s="4"/>
      <c r="G5" s="14"/>
      <c r="H5" s="14"/>
      <c r="I5" s="14"/>
      <c r="J5" s="3" t="s">
        <v>26</v>
      </c>
      <c r="K5" s="1"/>
      <c r="L5" s="1"/>
    </row>
    <row r="6" spans="1:28" s="2" customFormat="1" ht="13.5" thickBot="1" x14ac:dyDescent="0.35">
      <c r="A6" s="9" t="s">
        <v>1</v>
      </c>
      <c r="B6" s="10" t="s">
        <v>2</v>
      </c>
      <c r="C6" s="10" t="s">
        <v>3</v>
      </c>
      <c r="D6" s="10" t="s">
        <v>4</v>
      </c>
      <c r="E6" s="10" t="s">
        <v>140</v>
      </c>
      <c r="F6" s="10" t="s">
        <v>5</v>
      </c>
      <c r="G6" s="10" t="s">
        <v>6</v>
      </c>
      <c r="H6" s="10" t="s">
        <v>143</v>
      </c>
      <c r="I6" s="10" t="s">
        <v>8</v>
      </c>
      <c r="J6" s="11"/>
    </row>
    <row r="7" spans="1:28" x14ac:dyDescent="0.25">
      <c r="A7" s="43" t="str" cm="1">
        <f t="array" ref="A7:A35">IFERROR(
_xlfn.LET(
_xlpm.yr,$F$4,
_xlpm.mn,IF(ISNUMBER($C$4),$C$4,MONTH(1&amp;$C$4)),
_xlpm.first,DATE(_xlpm.yr,_xlpm.mn,1),
_xlpm.daysInMonth,DAY(EOMONTH(_xlpm.first,0)),
TEXT(_xlpm.first+_xlfn.SEQUENCE(_xlpm.daysInMonth)-1,"dddd, mmmm d, yyyy")
),
"")</f>
        <v>Thursday, February 1, 2024</v>
      </c>
      <c r="B7" s="38"/>
      <c r="C7" s="39"/>
      <c r="D7" s="39"/>
      <c r="E7" s="39"/>
      <c r="F7" s="39"/>
      <c r="G7" s="39"/>
      <c r="H7" s="39"/>
      <c r="I7" s="39"/>
      <c r="J7" s="40"/>
    </row>
    <row r="8" spans="1:28" x14ac:dyDescent="0.25">
      <c r="A8" s="43" t="str">
        <v>Friday, February 2, 2024</v>
      </c>
      <c r="B8" s="38"/>
      <c r="C8" s="39"/>
      <c r="D8" s="39"/>
      <c r="E8" s="39"/>
      <c r="F8" s="39"/>
      <c r="G8" s="39"/>
      <c r="H8" s="39"/>
      <c r="I8" s="39"/>
      <c r="J8" s="40"/>
    </row>
    <row r="9" spans="1:28" x14ac:dyDescent="0.25">
      <c r="A9" s="43" t="str">
        <v>Saturday, February 3, 2024</v>
      </c>
      <c r="B9" s="38"/>
      <c r="C9" s="39"/>
      <c r="D9" s="39"/>
      <c r="E9" s="39"/>
      <c r="F9" s="39"/>
      <c r="G9" s="39"/>
      <c r="H9" s="39"/>
      <c r="I9" s="39"/>
      <c r="J9" s="40"/>
    </row>
    <row r="10" spans="1:28" x14ac:dyDescent="0.25">
      <c r="A10" s="43" t="str">
        <v>Sunday, February 4, 2024</v>
      </c>
      <c r="B10" s="38"/>
      <c r="C10" s="39"/>
      <c r="D10" s="39"/>
      <c r="E10" s="39"/>
      <c r="F10" s="39"/>
      <c r="G10" s="39"/>
      <c r="H10" s="39"/>
      <c r="I10" s="39"/>
      <c r="J10" s="40"/>
    </row>
    <row r="11" spans="1:28" x14ac:dyDescent="0.25">
      <c r="A11" s="43" t="str">
        <v>Monday, February 5, 2024</v>
      </c>
      <c r="B11" s="38"/>
      <c r="C11" s="39"/>
      <c r="D11" s="39"/>
      <c r="E11" s="39"/>
      <c r="F11" s="39"/>
      <c r="G11" s="39"/>
      <c r="H11" s="39"/>
      <c r="I11" s="39"/>
      <c r="J11" s="40"/>
    </row>
    <row r="12" spans="1:28" x14ac:dyDescent="0.25">
      <c r="A12" s="43" t="str">
        <v>Tuesday, February 6, 2024</v>
      </c>
      <c r="B12" s="38"/>
      <c r="C12" s="39"/>
      <c r="D12" s="39"/>
      <c r="E12" s="39"/>
      <c r="F12" s="39"/>
      <c r="G12" s="39"/>
      <c r="H12" s="39"/>
      <c r="I12" s="39"/>
      <c r="J12" s="40"/>
    </row>
    <row r="13" spans="1:28" x14ac:dyDescent="0.25">
      <c r="A13" s="43" t="str">
        <v>Wednesday, February 7, 2024</v>
      </c>
      <c r="B13" s="38"/>
      <c r="C13" s="39"/>
      <c r="D13" s="39"/>
      <c r="E13" s="39"/>
      <c r="F13" s="39"/>
      <c r="G13" s="39"/>
      <c r="H13" s="39"/>
      <c r="I13" s="39"/>
      <c r="J13" s="40"/>
    </row>
    <row r="14" spans="1:28" x14ac:dyDescent="0.25">
      <c r="A14" s="43" t="str">
        <v>Thursday, February 8, 2024</v>
      </c>
      <c r="B14" s="38"/>
      <c r="C14" s="39"/>
      <c r="D14" s="39"/>
      <c r="E14" s="39"/>
      <c r="F14" s="39"/>
      <c r="G14" s="39"/>
      <c r="H14" s="39"/>
      <c r="I14" s="39"/>
      <c r="J14" s="40"/>
    </row>
    <row r="15" spans="1:28" x14ac:dyDescent="0.25">
      <c r="A15" s="43" t="str">
        <v>Friday, February 9, 2024</v>
      </c>
      <c r="B15" s="38"/>
      <c r="C15" s="39"/>
      <c r="D15" s="39"/>
      <c r="E15" s="39"/>
      <c r="F15" s="39"/>
      <c r="G15" s="39"/>
      <c r="H15" s="39"/>
      <c r="I15" s="39"/>
      <c r="J15" s="40"/>
    </row>
    <row r="16" spans="1:28" x14ac:dyDescent="0.25">
      <c r="A16" s="43" t="str">
        <v>Saturday, February 10, 2024</v>
      </c>
      <c r="B16" s="38"/>
      <c r="C16" s="39"/>
      <c r="D16" s="39"/>
      <c r="E16" s="39"/>
      <c r="F16" s="39"/>
      <c r="G16" s="39"/>
      <c r="H16" s="39"/>
      <c r="I16" s="39"/>
      <c r="J16" s="40"/>
    </row>
    <row r="17" spans="1:10" x14ac:dyDescent="0.25">
      <c r="A17" s="43" t="str">
        <v>Sunday, February 11, 2024</v>
      </c>
      <c r="B17" s="38"/>
      <c r="C17" s="39"/>
      <c r="D17" s="39"/>
      <c r="E17" s="39"/>
      <c r="F17" s="39"/>
      <c r="G17" s="39"/>
      <c r="H17" s="39"/>
      <c r="I17" s="39"/>
      <c r="J17" s="40"/>
    </row>
    <row r="18" spans="1:10" x14ac:dyDescent="0.25">
      <c r="A18" s="43" t="str">
        <v>Monday, February 12, 2024</v>
      </c>
      <c r="B18" s="38"/>
      <c r="C18" s="39"/>
      <c r="D18" s="39"/>
      <c r="E18" s="39"/>
      <c r="F18" s="39"/>
      <c r="G18" s="39"/>
      <c r="H18" s="39"/>
      <c r="I18" s="39"/>
      <c r="J18" s="40"/>
    </row>
    <row r="19" spans="1:10" x14ac:dyDescent="0.25">
      <c r="A19" s="43" t="str">
        <v>Tuesday, February 13, 2024</v>
      </c>
      <c r="B19" s="38"/>
      <c r="C19" s="39"/>
      <c r="D19" s="39"/>
      <c r="E19" s="39"/>
      <c r="F19" s="39"/>
      <c r="G19" s="39"/>
      <c r="H19" s="39"/>
      <c r="I19" s="39"/>
      <c r="J19" s="40"/>
    </row>
    <row r="20" spans="1:10" x14ac:dyDescent="0.25">
      <c r="A20" s="43" t="str">
        <v>Wednesday, February 14, 2024</v>
      </c>
      <c r="B20" s="38"/>
      <c r="C20" s="39"/>
      <c r="D20" s="39"/>
      <c r="E20" s="39"/>
      <c r="F20" s="39"/>
      <c r="G20" s="39"/>
      <c r="H20" s="39"/>
      <c r="I20" s="39"/>
      <c r="J20" s="40"/>
    </row>
    <row r="21" spans="1:10" x14ac:dyDescent="0.25">
      <c r="A21" s="43" t="str">
        <v>Thursday, February 15, 2024</v>
      </c>
      <c r="B21" s="38"/>
      <c r="C21" s="39"/>
      <c r="D21" s="39"/>
      <c r="E21" s="39"/>
      <c r="F21" s="39"/>
      <c r="G21" s="39"/>
      <c r="H21" s="39"/>
      <c r="I21" s="39"/>
      <c r="J21" s="40"/>
    </row>
    <row r="22" spans="1:10" x14ac:dyDescent="0.25">
      <c r="A22" s="43" t="str">
        <v>Friday, February 16, 2024</v>
      </c>
      <c r="B22" s="38"/>
      <c r="C22" s="39"/>
      <c r="D22" s="39"/>
      <c r="E22" s="39"/>
      <c r="F22" s="39"/>
      <c r="G22" s="39"/>
      <c r="H22" s="39"/>
      <c r="I22" s="39"/>
      <c r="J22" s="40"/>
    </row>
    <row r="23" spans="1:10" x14ac:dyDescent="0.25">
      <c r="A23" s="43" t="str">
        <v>Saturday, February 17, 2024</v>
      </c>
      <c r="B23" s="38"/>
      <c r="C23" s="39"/>
      <c r="D23" s="39"/>
      <c r="E23" s="39"/>
      <c r="F23" s="39"/>
      <c r="G23" s="39"/>
      <c r="H23" s="39"/>
      <c r="I23" s="39"/>
      <c r="J23" s="40"/>
    </row>
    <row r="24" spans="1:10" x14ac:dyDescent="0.25">
      <c r="A24" s="43" t="str">
        <v>Sunday, February 18, 2024</v>
      </c>
      <c r="B24" s="38"/>
      <c r="C24" s="39"/>
      <c r="D24" s="39"/>
      <c r="E24" s="39"/>
      <c r="F24" s="39"/>
      <c r="G24" s="39"/>
      <c r="H24" s="39"/>
      <c r="I24" s="39"/>
      <c r="J24" s="40"/>
    </row>
    <row r="25" spans="1:10" x14ac:dyDescent="0.25">
      <c r="A25" s="43" t="str">
        <v>Monday, February 19, 2024</v>
      </c>
      <c r="B25" s="38"/>
      <c r="C25" s="39"/>
      <c r="D25" s="39"/>
      <c r="E25" s="39"/>
      <c r="F25" s="39"/>
      <c r="G25" s="39"/>
      <c r="H25" s="39"/>
      <c r="I25" s="39"/>
      <c r="J25" s="40"/>
    </row>
    <row r="26" spans="1:10" x14ac:dyDescent="0.25">
      <c r="A26" s="43" t="str">
        <v>Tuesday, February 20, 2024</v>
      </c>
      <c r="B26" s="38"/>
      <c r="C26" s="39"/>
      <c r="D26" s="39"/>
      <c r="E26" s="39"/>
      <c r="F26" s="39"/>
      <c r="G26" s="39"/>
      <c r="H26" s="39"/>
      <c r="I26" s="39"/>
      <c r="J26" s="40"/>
    </row>
    <row r="27" spans="1:10" x14ac:dyDescent="0.25">
      <c r="A27" s="43" t="str">
        <v>Wednesday, February 21, 2024</v>
      </c>
      <c r="B27" s="38"/>
      <c r="C27" s="39"/>
      <c r="D27" s="39"/>
      <c r="E27" s="39"/>
      <c r="F27" s="39"/>
      <c r="G27" s="39"/>
      <c r="H27" s="39"/>
      <c r="I27" s="39"/>
      <c r="J27" s="40"/>
    </row>
    <row r="28" spans="1:10" x14ac:dyDescent="0.25">
      <c r="A28" s="43" t="str">
        <v>Thursday, February 22, 2024</v>
      </c>
      <c r="B28" s="38"/>
      <c r="C28" s="39"/>
      <c r="D28" s="39"/>
      <c r="E28" s="39"/>
      <c r="F28" s="39"/>
      <c r="G28" s="39"/>
      <c r="H28" s="39"/>
      <c r="I28" s="39"/>
      <c r="J28" s="40"/>
    </row>
    <row r="29" spans="1:10" x14ac:dyDescent="0.25">
      <c r="A29" s="43" t="str">
        <v>Friday, February 23, 2024</v>
      </c>
      <c r="B29" s="38"/>
      <c r="C29" s="39"/>
      <c r="D29" s="39"/>
      <c r="E29" s="39"/>
      <c r="F29" s="39"/>
      <c r="G29" s="39"/>
      <c r="H29" s="39"/>
      <c r="I29" s="39"/>
      <c r="J29" s="40"/>
    </row>
    <row r="30" spans="1:10" x14ac:dyDescent="0.25">
      <c r="A30" s="43" t="str">
        <v>Saturday, February 24, 2024</v>
      </c>
      <c r="B30" s="38"/>
      <c r="C30" s="39"/>
      <c r="D30" s="39"/>
      <c r="E30" s="39"/>
      <c r="F30" s="39"/>
      <c r="G30" s="39"/>
      <c r="H30" s="39"/>
      <c r="I30" s="39"/>
      <c r="J30" s="40"/>
    </row>
    <row r="31" spans="1:10" x14ac:dyDescent="0.25">
      <c r="A31" s="43" t="str">
        <v>Sunday, February 25, 2024</v>
      </c>
      <c r="B31" s="38"/>
      <c r="C31" s="39"/>
      <c r="D31" s="39"/>
      <c r="E31" s="39"/>
      <c r="F31" s="39"/>
      <c r="G31" s="39"/>
      <c r="H31" s="39"/>
      <c r="I31" s="39"/>
      <c r="J31" s="40"/>
    </row>
    <row r="32" spans="1:10" x14ac:dyDescent="0.25">
      <c r="A32" s="43" t="str">
        <v>Monday, February 26, 2024</v>
      </c>
      <c r="B32" s="38"/>
      <c r="C32" s="39"/>
      <c r="D32" s="39"/>
      <c r="E32" s="39"/>
      <c r="F32" s="39"/>
      <c r="G32" s="39"/>
      <c r="H32" s="39"/>
      <c r="I32" s="39"/>
      <c r="J32" s="40"/>
    </row>
    <row r="33" spans="1:10" x14ac:dyDescent="0.25">
      <c r="A33" s="43" t="str">
        <v>Tuesday, February 27, 2024</v>
      </c>
      <c r="B33" s="38"/>
      <c r="C33" s="39"/>
      <c r="D33" s="39"/>
      <c r="E33" s="39"/>
      <c r="F33" s="39"/>
      <c r="G33" s="39"/>
      <c r="H33" s="39"/>
      <c r="I33" s="39"/>
      <c r="J33" s="40"/>
    </row>
    <row r="34" spans="1:10" x14ac:dyDescent="0.25">
      <c r="A34" s="43" t="str">
        <v>Wednesday, February 28, 2024</v>
      </c>
      <c r="B34" s="38"/>
      <c r="C34" s="39"/>
      <c r="D34" s="39"/>
      <c r="E34" s="39"/>
      <c r="F34" s="39"/>
      <c r="G34" s="39"/>
      <c r="H34" s="39"/>
      <c r="I34" s="39"/>
      <c r="J34" s="40"/>
    </row>
    <row r="35" spans="1:10" x14ac:dyDescent="0.25">
      <c r="A35" s="43" t="str">
        <v>Thursday, February 29, 2024</v>
      </c>
      <c r="B35" s="38"/>
      <c r="C35" s="39"/>
      <c r="D35" s="39"/>
      <c r="E35" s="39"/>
      <c r="F35" s="39"/>
      <c r="G35" s="39"/>
      <c r="H35" s="39"/>
      <c r="I35" s="39"/>
      <c r="J35" s="40"/>
    </row>
    <row r="36" spans="1:10" x14ac:dyDescent="0.25">
      <c r="A36" s="25"/>
      <c r="B36" s="27"/>
      <c r="C36" s="26"/>
      <c r="D36" s="26"/>
      <c r="E36" s="26"/>
      <c r="F36" s="26"/>
      <c r="G36" s="26"/>
      <c r="H36" s="26"/>
      <c r="I36" s="26"/>
      <c r="J36" s="26"/>
    </row>
    <row r="37" spans="1:10" ht="13" x14ac:dyDescent="0.3">
      <c r="A37" s="19"/>
      <c r="B37" s="28"/>
      <c r="C37" s="14"/>
      <c r="D37" s="14"/>
      <c r="E37" s="14"/>
      <c r="F37" s="29"/>
      <c r="G37" s="14"/>
      <c r="H37" s="14"/>
      <c r="I37" s="14"/>
      <c r="J37" s="2"/>
    </row>
    <row r="38" spans="1:10" ht="13" x14ac:dyDescent="0.3">
      <c r="A38" s="30"/>
      <c r="B38" s="8" t="str">
        <f>C4&amp;" "&amp;F4&amp;" HOURS"</f>
        <v>February 2024 HOURS</v>
      </c>
      <c r="C38" s="15">
        <f>SUM(C7:C37)</f>
        <v>0</v>
      </c>
      <c r="D38" s="7">
        <f t="shared" ref="D38:I38" si="0">SUM(D7:D37)</f>
        <v>0</v>
      </c>
      <c r="E38" s="15">
        <f t="shared" si="0"/>
        <v>0</v>
      </c>
      <c r="F38" s="7">
        <f t="shared" si="0"/>
        <v>0</v>
      </c>
      <c r="G38" s="15">
        <f t="shared" si="0"/>
        <v>0</v>
      </c>
      <c r="H38" s="7">
        <f t="shared" si="0"/>
        <v>0</v>
      </c>
      <c r="I38" s="7">
        <f t="shared" si="0"/>
        <v>0</v>
      </c>
      <c r="J38" s="24"/>
    </row>
    <row r="42" spans="1:10" x14ac:dyDescent="0.25">
      <c r="A42" t="str">
        <f>IFERROR(IF(A43="","","X"),"")</f>
        <v/>
      </c>
      <c r="F42" s="52" t="str">
        <f>IFERROR(IF(F43="","","X"),"")</f>
        <v/>
      </c>
      <c r="G42" s="52" t="str">
        <f>IFERROR(IF(G43="","","X"),"")</f>
        <v/>
      </c>
      <c r="H42" s="52" t="str">
        <f>IFERROR(IF(H43="","","X"),"")</f>
        <v/>
      </c>
      <c r="I42" s="52" t="str">
        <f>IFERROR(IF(I43="","","X"),"")</f>
        <v/>
      </c>
    </row>
    <row r="43" spans="1:10" x14ac:dyDescent="0.25">
      <c r="A43" s="33" t="str">
        <f>IFERROR(IF(AB2&gt;0,AA2,""),"")</f>
        <v/>
      </c>
      <c r="F43" s="51" t="str">
        <f>IFERROR(IF(AB$2&gt;1,AA3,""),"")</f>
        <v/>
      </c>
      <c r="G43" s="51"/>
      <c r="H43" s="51"/>
      <c r="I43" s="51"/>
    </row>
    <row r="44" spans="1:10" x14ac:dyDescent="0.25">
      <c r="A44" s="33" t="str">
        <f>IFERROR(VLOOKUP(A43,Sheet1!$D$2:$F$52,3,TRUE),"")</f>
        <v/>
      </c>
      <c r="F44" s="51" t="str">
        <f>IFERROR(VLOOKUP(F43,Sheet1!$D$2:$F$52,3,TRUE),"")</f>
        <v/>
      </c>
      <c r="G44" s="51" t="str">
        <f>IFERROR(VLOOKUP(G43,Sheet1!$D$2:$F$52,3,TRUE),"")</f>
        <v/>
      </c>
      <c r="H44" s="51" t="str">
        <f>IFERROR(VLOOKUP(H43,Sheet1!$D$2:$F$52,3,TRUE),"")</f>
        <v/>
      </c>
      <c r="I44" s="51" t="str">
        <f>IFERROR(VLOOKUP(I43,Sheet1!$D$2:$F$52,3,TRUE),"")</f>
        <v/>
      </c>
    </row>
    <row r="45" spans="1:10" x14ac:dyDescent="0.25">
      <c r="A45" t="str">
        <f>IFERROR(VLOOKUP(A43,Sheet1!$D$2:$F$52,2,TRUE),"")</f>
        <v/>
      </c>
      <c r="F45" s="50" t="str">
        <f>IFERROR(VLOOKUP(F43,Sheet1!$D$2:$F$52,2,TRUE),"")</f>
        <v/>
      </c>
      <c r="G45" s="50" t="str">
        <f>IFERROR(VLOOKUP(G43,Sheet1!$D$2:$F$52,2,TRUE),"")</f>
        <v/>
      </c>
      <c r="H45" s="50" t="str">
        <f>IFERROR(VLOOKUP(H43,Sheet1!$D$2:$F$52,2,TRUE),"")</f>
        <v/>
      </c>
      <c r="I45" s="50" t="str">
        <f>IFERROR(VLOOKUP(I43,Sheet1!$D$2:$F$52,2,TRUE),"")</f>
        <v/>
      </c>
    </row>
    <row r="48" spans="1:10" x14ac:dyDescent="0.25">
      <c r="A48" t="str">
        <f>IFERROR(IF(A49="","","X"),"")</f>
        <v/>
      </c>
      <c r="F48" s="50" t="str">
        <f>IFERROR(IF(F49="","","X"),"")</f>
        <v/>
      </c>
      <c r="G48" s="50"/>
      <c r="H48" s="50"/>
      <c r="I48" s="50"/>
    </row>
    <row r="49" spans="1:9" x14ac:dyDescent="0.25">
      <c r="A49" s="33" t="str">
        <f>IFERROR(IF(AB2&gt;2,AA4,""),"")</f>
        <v/>
      </c>
      <c r="F49" s="51" t="str">
        <f>IFERROR(IF(AB2&gt;3,AA5,""),"")</f>
        <v/>
      </c>
      <c r="G49" s="51"/>
      <c r="H49" s="51"/>
      <c r="I49" s="51"/>
    </row>
    <row r="50" spans="1:9" x14ac:dyDescent="0.25">
      <c r="A50" s="33" t="str">
        <f>IFERROR(VLOOKUP(A49,Sheet1!$D$2:$F$52,3,TRUE),"")</f>
        <v/>
      </c>
      <c r="F50" s="51" t="str">
        <f>IFERROR(VLOOKUP(F49,Sheet1!$D$2:$F$52,3,TRUE),"")</f>
        <v/>
      </c>
      <c r="G50" s="51"/>
      <c r="H50" s="51"/>
      <c r="I50" s="51"/>
    </row>
    <row r="51" spans="1:9" x14ac:dyDescent="0.25">
      <c r="A51" t="str">
        <f>IFERROR(VLOOKUP(A49,Sheet1!$D$2:$F$52,2,TRUE),"")</f>
        <v/>
      </c>
      <c r="F51" s="50" t="str">
        <f>IFERROR(VLOOKUP(F49,Sheet1!$D$2:$F$52,2,TRUE),"")</f>
        <v/>
      </c>
      <c r="G51" s="50"/>
      <c r="H51" s="50"/>
      <c r="I51" s="50"/>
    </row>
    <row r="54" spans="1:9" x14ac:dyDescent="0.25">
      <c r="A54" t="str">
        <f>IFERROR(IF(A55="","","X"),"")</f>
        <v/>
      </c>
      <c r="F54" s="50" t="str">
        <f>IFERROR(IF(F55="","","X"),"")</f>
        <v/>
      </c>
      <c r="G54" s="50"/>
      <c r="H54" s="50"/>
      <c r="I54" s="50"/>
    </row>
    <row r="55" spans="1:9" x14ac:dyDescent="0.25">
      <c r="A55" t="str">
        <f>IFERROR(IF(AB2&gt;4,AA6,""),"")</f>
        <v/>
      </c>
      <c r="F55" s="51" t="str">
        <f>IFERROR(IF(AB2&gt;5,AA7,""),"")</f>
        <v/>
      </c>
      <c r="G55" s="51"/>
      <c r="H55" s="51"/>
      <c r="I55" s="51"/>
    </row>
    <row r="56" spans="1:9" x14ac:dyDescent="0.25">
      <c r="A56" t="str">
        <f>IFERROR(VLOOKUP(A55,Sheet1!$D$2:$F$52,3,TRUE),"")</f>
        <v/>
      </c>
      <c r="F56" s="51" t="str">
        <f>IFERROR(VLOOKUP(F55,Sheet1!$D$2:$F$52,3,TRUE),"")</f>
        <v/>
      </c>
      <c r="G56" s="51"/>
      <c r="H56" s="51"/>
      <c r="I56" s="51"/>
    </row>
    <row r="57" spans="1:9" x14ac:dyDescent="0.25">
      <c r="A57" t="str">
        <f>IFERROR(VLOOKUP(A55,Sheet1!$D$2:$F$52,2,TRUE),"")</f>
        <v/>
      </c>
      <c r="F57" s="50" t="str">
        <f>IFERROR(VLOOKUP(F55,Sheet1!$D$2:$F$52,2,TRUE),"")</f>
        <v/>
      </c>
      <c r="G57" s="50"/>
      <c r="H57" s="50"/>
      <c r="I57" s="50"/>
    </row>
  </sheetData>
  <sheetProtection algorithmName="SHA-512" hashValue="jKuw58pWrX9g2DNwutSffxgzCkVNPkXG40oKuHKcO+LrCnmuXAEWejYo857wOad3k6OmgBqFFtdO6NevqICHWg==" saltValue="QDAxc9zPi16hROJXu9iYtg==" spinCount="100000" sheet="1" objects="1" scenarios="1"/>
  <mergeCells count="17">
    <mergeCell ref="F51:I51"/>
    <mergeCell ref="F54:I54"/>
    <mergeCell ref="F55:I55"/>
    <mergeCell ref="F56:I56"/>
    <mergeCell ref="F57:I57"/>
    <mergeCell ref="F50:I50"/>
    <mergeCell ref="A1:E1"/>
    <mergeCell ref="F1:J1"/>
    <mergeCell ref="A3:J3"/>
    <mergeCell ref="C4:E4"/>
    <mergeCell ref="F4:G4"/>
    <mergeCell ref="F42:I42"/>
    <mergeCell ref="F43:I43"/>
    <mergeCell ref="F44:I44"/>
    <mergeCell ref="F45:I45"/>
    <mergeCell ref="F48:I48"/>
    <mergeCell ref="F49:I49"/>
  </mergeCells>
  <conditionalFormatting sqref="A42:B42">
    <cfRule type="expression" dxfId="65" priority="6" stopIfTrue="1">
      <formula>$A$43&lt;&gt;""</formula>
    </cfRule>
  </conditionalFormatting>
  <conditionalFormatting sqref="A48:B48">
    <cfRule type="expression" dxfId="64" priority="4" stopIfTrue="1">
      <formula>$A$49&lt;&gt;""</formula>
    </cfRule>
  </conditionalFormatting>
  <conditionalFormatting sqref="A54:B54">
    <cfRule type="expression" dxfId="63" priority="2" stopIfTrue="1">
      <formula>$A$55&lt;&gt;""</formula>
    </cfRule>
  </conditionalFormatting>
  <conditionalFormatting sqref="F42:J42">
    <cfRule type="expression" dxfId="62" priority="5" stopIfTrue="1">
      <formula>$F$43&lt;&gt;""</formula>
    </cfRule>
  </conditionalFormatting>
  <conditionalFormatting sqref="F48:J48">
    <cfRule type="expression" dxfId="61" priority="3" stopIfTrue="1">
      <formula>$F$49&lt;&gt;""</formula>
    </cfRule>
  </conditionalFormatting>
  <conditionalFormatting sqref="F54:J54">
    <cfRule type="expression" dxfId="60" priority="1" stopIfTrue="1">
      <formula>$F$55&lt;&gt;""</formula>
    </cfRule>
  </conditionalFormatting>
  <pageMargins left="0.5" right="0.5" top="0.5" bottom="0.5" header="0.5" footer="0.5"/>
  <pageSetup scale="74" orientation="portrait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1A30D8B-1883-4095-A986-52CFF749C271}">
          <x14:formula1>
            <xm:f>Sheet1!$D:$D</xm:f>
          </x14:formula1>
          <xm:sqref>J7:J35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D34E0-6160-47CF-B92A-19E9CFEE4CC2}">
  <sheetPr>
    <pageSetUpPr fitToPage="1"/>
  </sheetPr>
  <dimension ref="A1:AB59"/>
  <sheetViews>
    <sheetView zoomScaleNormal="100" workbookViewId="0">
      <selection activeCell="B4" sqref="B4"/>
    </sheetView>
  </sheetViews>
  <sheetFormatPr defaultColWidth="8.81640625" defaultRowHeight="12.5" x14ac:dyDescent="0.25"/>
  <cols>
    <col min="1" max="1" width="25.81640625" customWidth="1"/>
    <col min="2" max="2" width="24" customWidth="1"/>
    <col min="3" max="3" width="7.1796875" style="2" customWidth="1"/>
    <col min="4" max="4" width="6.1796875" style="2" customWidth="1"/>
    <col min="5" max="5" width="6.54296875" style="2" customWidth="1"/>
    <col min="6" max="6" width="6.54296875" customWidth="1"/>
    <col min="7" max="8" width="6.81640625" style="2" customWidth="1"/>
    <col min="9" max="9" width="7.453125" style="2" customWidth="1"/>
    <col min="10" max="10" width="32.453125" customWidth="1"/>
    <col min="27" max="27" width="15.1796875" bestFit="1" customWidth="1"/>
  </cols>
  <sheetData>
    <row r="1" spans="1:28" ht="72.75" customHeight="1" thickBot="1" x14ac:dyDescent="0.4">
      <c r="A1" s="44"/>
      <c r="B1" s="44"/>
      <c r="C1" s="44"/>
      <c r="D1" s="44"/>
      <c r="E1" s="44"/>
      <c r="F1" s="45" t="s">
        <v>138</v>
      </c>
      <c r="G1" s="46"/>
      <c r="H1" s="46"/>
      <c r="I1" s="46"/>
      <c r="J1" s="46"/>
    </row>
    <row r="2" spans="1:28" ht="15.5" x14ac:dyDescent="0.35">
      <c r="B2" s="5"/>
      <c r="C2" s="13"/>
      <c r="D2" s="13"/>
      <c r="E2" s="13"/>
      <c r="F2" s="5"/>
      <c r="G2" s="13"/>
      <c r="H2" s="13"/>
      <c r="I2" s="13"/>
      <c r="J2" s="5"/>
      <c r="AA2" t="str" cm="1">
        <f t="array" ref="AA2">IFERROR(_xlfn.UNIQUE(_xlfn._xlws.FILTER(J7:J37,J7:J37&lt;&gt;"")),"")</f>
        <v/>
      </c>
      <c r="AB2">
        <f>COUNTA(AA:AA)</f>
        <v>1</v>
      </c>
    </row>
    <row r="3" spans="1:28" ht="15.5" x14ac:dyDescent="0.35">
      <c r="A3" s="47" t="s">
        <v>12</v>
      </c>
      <c r="B3" s="47"/>
      <c r="C3" s="47"/>
      <c r="D3" s="47"/>
      <c r="E3" s="47"/>
      <c r="F3" s="47"/>
      <c r="G3" s="47"/>
      <c r="H3" s="47"/>
      <c r="I3" s="47"/>
      <c r="J3" s="47"/>
    </row>
    <row r="4" spans="1:28" ht="20.25" customHeight="1" x14ac:dyDescent="0.3">
      <c r="A4" s="1" t="s">
        <v>0</v>
      </c>
      <c r="B4" s="4" t="str">
        <f>IF(Jan!B4="","",Jan!B4)</f>
        <v>Your Name</v>
      </c>
      <c r="C4" s="48" t="s">
        <v>15</v>
      </c>
      <c r="D4" s="48"/>
      <c r="E4" s="48"/>
      <c r="F4" s="53">
        <f>Jan!F4</f>
        <v>2024</v>
      </c>
      <c r="G4" s="54"/>
    </row>
    <row r="5" spans="1:28" ht="21" customHeight="1" x14ac:dyDescent="0.4">
      <c r="A5" s="3"/>
      <c r="B5" s="4"/>
      <c r="C5" s="14"/>
      <c r="D5" s="14"/>
      <c r="E5" s="16" t="s">
        <v>7</v>
      </c>
      <c r="F5" s="4"/>
      <c r="G5" s="14"/>
      <c r="H5" s="14"/>
      <c r="I5" s="14"/>
      <c r="J5" s="3" t="s">
        <v>26</v>
      </c>
      <c r="K5" s="1"/>
      <c r="L5" s="1"/>
    </row>
    <row r="6" spans="1:28" s="2" customFormat="1" ht="13.5" thickBot="1" x14ac:dyDescent="0.35">
      <c r="A6" s="9" t="s">
        <v>1</v>
      </c>
      <c r="B6" s="10" t="s">
        <v>2</v>
      </c>
      <c r="C6" s="10" t="s">
        <v>3</v>
      </c>
      <c r="D6" s="10" t="s">
        <v>4</v>
      </c>
      <c r="E6" s="10" t="s">
        <v>140</v>
      </c>
      <c r="F6" s="10" t="s">
        <v>5</v>
      </c>
      <c r="G6" s="10" t="s">
        <v>6</v>
      </c>
      <c r="H6" s="10" t="s">
        <v>143</v>
      </c>
      <c r="I6" s="10" t="s">
        <v>8</v>
      </c>
      <c r="J6" s="11"/>
    </row>
    <row r="7" spans="1:28" x14ac:dyDescent="0.25">
      <c r="A7" s="43" t="str" cm="1">
        <f t="array" ref="A7:A37">IFERROR(
_xlfn.LET(
_xlpm.yr,$F$4,
_xlpm.mn,IF(ISNUMBER($C$4),$C$4,MONTH(1&amp;$C$4)),
_xlpm.first,DATE(_xlpm.yr,_xlpm.mn,1),
_xlpm.daysInMonth,DAY(EOMONTH(_xlpm.first,0)),
TEXT(_xlpm.first+_xlfn.SEQUENCE(_xlpm.daysInMonth)-1,"dddd, mmmm d, yyyy")
),
"")</f>
        <v>Friday, March 1, 2024</v>
      </c>
      <c r="B7" s="38"/>
      <c r="C7" s="39"/>
      <c r="D7" s="39"/>
      <c r="E7" s="39"/>
      <c r="F7" s="39"/>
      <c r="G7" s="39"/>
      <c r="H7" s="39"/>
      <c r="I7" s="39"/>
      <c r="J7" s="40"/>
    </row>
    <row r="8" spans="1:28" x14ac:dyDescent="0.25">
      <c r="A8" s="43" t="str">
        <v>Saturday, March 2, 2024</v>
      </c>
      <c r="B8" s="38"/>
      <c r="C8" s="39"/>
      <c r="D8" s="39"/>
      <c r="E8" s="39"/>
      <c r="F8" s="39"/>
      <c r="G8" s="39"/>
      <c r="H8" s="39"/>
      <c r="I8" s="39"/>
      <c r="J8" s="40"/>
    </row>
    <row r="9" spans="1:28" x14ac:dyDescent="0.25">
      <c r="A9" s="43" t="str">
        <v>Sunday, March 3, 2024</v>
      </c>
      <c r="B9" s="38"/>
      <c r="C9" s="39"/>
      <c r="D9" s="39"/>
      <c r="E9" s="39"/>
      <c r="F9" s="39"/>
      <c r="G9" s="39"/>
      <c r="H9" s="39"/>
      <c r="I9" s="39"/>
      <c r="J9" s="40"/>
    </row>
    <row r="10" spans="1:28" x14ac:dyDescent="0.25">
      <c r="A10" s="43" t="str">
        <v>Monday, March 4, 2024</v>
      </c>
      <c r="B10" s="38"/>
      <c r="C10" s="39"/>
      <c r="D10" s="39"/>
      <c r="E10" s="39"/>
      <c r="F10" s="39"/>
      <c r="G10" s="39"/>
      <c r="H10" s="39"/>
      <c r="I10" s="39"/>
      <c r="J10" s="40"/>
    </row>
    <row r="11" spans="1:28" x14ac:dyDescent="0.25">
      <c r="A11" s="43" t="str">
        <v>Tuesday, March 5, 2024</v>
      </c>
      <c r="B11" s="38"/>
      <c r="C11" s="39"/>
      <c r="D11" s="39"/>
      <c r="E11" s="39"/>
      <c r="F11" s="39"/>
      <c r="G11" s="39"/>
      <c r="H11" s="39"/>
      <c r="I11" s="39"/>
      <c r="J11" s="40"/>
    </row>
    <row r="12" spans="1:28" x14ac:dyDescent="0.25">
      <c r="A12" s="43" t="str">
        <v>Wednesday, March 6, 2024</v>
      </c>
      <c r="B12" s="38"/>
      <c r="C12" s="39"/>
      <c r="D12" s="39"/>
      <c r="E12" s="39"/>
      <c r="F12" s="39"/>
      <c r="G12" s="39"/>
      <c r="H12" s="39"/>
      <c r="I12" s="39"/>
      <c r="J12" s="40"/>
    </row>
    <row r="13" spans="1:28" x14ac:dyDescent="0.25">
      <c r="A13" s="43" t="str">
        <v>Thursday, March 7, 2024</v>
      </c>
      <c r="B13" s="38"/>
      <c r="C13" s="39"/>
      <c r="D13" s="39"/>
      <c r="E13" s="39"/>
      <c r="F13" s="39"/>
      <c r="G13" s="39"/>
      <c r="H13" s="39"/>
      <c r="I13" s="39"/>
      <c r="J13" s="40"/>
    </row>
    <row r="14" spans="1:28" x14ac:dyDescent="0.25">
      <c r="A14" s="43" t="str">
        <v>Friday, March 8, 2024</v>
      </c>
      <c r="B14" s="38"/>
      <c r="C14" s="39"/>
      <c r="D14" s="39"/>
      <c r="E14" s="39"/>
      <c r="F14" s="39"/>
      <c r="G14" s="39"/>
      <c r="H14" s="39"/>
      <c r="I14" s="39"/>
      <c r="J14" s="40"/>
    </row>
    <row r="15" spans="1:28" x14ac:dyDescent="0.25">
      <c r="A15" s="43" t="str">
        <v>Saturday, March 9, 2024</v>
      </c>
      <c r="B15" s="38"/>
      <c r="C15" s="39"/>
      <c r="D15" s="39"/>
      <c r="E15" s="39"/>
      <c r="F15" s="39"/>
      <c r="G15" s="39"/>
      <c r="H15" s="39"/>
      <c r="I15" s="39"/>
      <c r="J15" s="40"/>
    </row>
    <row r="16" spans="1:28" x14ac:dyDescent="0.25">
      <c r="A16" s="43" t="str">
        <v>Sunday, March 10, 2024</v>
      </c>
      <c r="B16" s="38"/>
      <c r="C16" s="39"/>
      <c r="D16" s="39"/>
      <c r="E16" s="39"/>
      <c r="F16" s="39"/>
      <c r="G16" s="39"/>
      <c r="H16" s="39"/>
      <c r="I16" s="39"/>
      <c r="J16" s="40"/>
    </row>
    <row r="17" spans="1:10" x14ac:dyDescent="0.25">
      <c r="A17" s="43" t="str">
        <v>Monday, March 11, 2024</v>
      </c>
      <c r="B17" s="38"/>
      <c r="C17" s="39"/>
      <c r="D17" s="39"/>
      <c r="E17" s="39"/>
      <c r="F17" s="39"/>
      <c r="G17" s="39"/>
      <c r="H17" s="39"/>
      <c r="I17" s="39"/>
      <c r="J17" s="40"/>
    </row>
    <row r="18" spans="1:10" x14ac:dyDescent="0.25">
      <c r="A18" s="43" t="str">
        <v>Tuesday, March 12, 2024</v>
      </c>
      <c r="B18" s="38"/>
      <c r="C18" s="39"/>
      <c r="D18" s="39"/>
      <c r="E18" s="39"/>
      <c r="F18" s="39"/>
      <c r="G18" s="39"/>
      <c r="H18" s="39"/>
      <c r="I18" s="39"/>
      <c r="J18" s="40"/>
    </row>
    <row r="19" spans="1:10" x14ac:dyDescent="0.25">
      <c r="A19" s="43" t="str">
        <v>Wednesday, March 13, 2024</v>
      </c>
      <c r="B19" s="38"/>
      <c r="C19" s="39"/>
      <c r="D19" s="39"/>
      <c r="E19" s="39"/>
      <c r="F19" s="39"/>
      <c r="G19" s="39"/>
      <c r="H19" s="39"/>
      <c r="I19" s="39"/>
      <c r="J19" s="40"/>
    </row>
    <row r="20" spans="1:10" x14ac:dyDescent="0.25">
      <c r="A20" s="43" t="str">
        <v>Thursday, March 14, 2024</v>
      </c>
      <c r="B20" s="38"/>
      <c r="C20" s="39"/>
      <c r="D20" s="39"/>
      <c r="E20" s="39"/>
      <c r="F20" s="39"/>
      <c r="G20" s="39"/>
      <c r="H20" s="39"/>
      <c r="I20" s="39"/>
      <c r="J20" s="40"/>
    </row>
    <row r="21" spans="1:10" x14ac:dyDescent="0.25">
      <c r="A21" s="43" t="str">
        <v>Friday, March 15, 2024</v>
      </c>
      <c r="B21" s="38"/>
      <c r="C21" s="39"/>
      <c r="D21" s="39"/>
      <c r="E21" s="39"/>
      <c r="F21" s="39"/>
      <c r="G21" s="39"/>
      <c r="H21" s="39"/>
      <c r="I21" s="39"/>
      <c r="J21" s="40"/>
    </row>
    <row r="22" spans="1:10" x14ac:dyDescent="0.25">
      <c r="A22" s="43" t="str">
        <v>Saturday, March 16, 2024</v>
      </c>
      <c r="B22" s="38"/>
      <c r="C22" s="39"/>
      <c r="D22" s="39"/>
      <c r="E22" s="39"/>
      <c r="F22" s="39"/>
      <c r="G22" s="39"/>
      <c r="H22" s="39"/>
      <c r="I22" s="39"/>
      <c r="J22" s="40"/>
    </row>
    <row r="23" spans="1:10" x14ac:dyDescent="0.25">
      <c r="A23" s="43" t="str">
        <v>Sunday, March 17, 2024</v>
      </c>
      <c r="B23" s="38"/>
      <c r="C23" s="39"/>
      <c r="D23" s="39"/>
      <c r="E23" s="39"/>
      <c r="F23" s="39"/>
      <c r="G23" s="39"/>
      <c r="H23" s="39"/>
      <c r="I23" s="39"/>
      <c r="J23" s="40"/>
    </row>
    <row r="24" spans="1:10" x14ac:dyDescent="0.25">
      <c r="A24" s="43" t="str">
        <v>Monday, March 18, 2024</v>
      </c>
      <c r="B24" s="38"/>
      <c r="C24" s="39"/>
      <c r="D24" s="39"/>
      <c r="E24" s="39"/>
      <c r="F24" s="39"/>
      <c r="G24" s="39"/>
      <c r="H24" s="39"/>
      <c r="I24" s="39"/>
      <c r="J24" s="40"/>
    </row>
    <row r="25" spans="1:10" x14ac:dyDescent="0.25">
      <c r="A25" s="43" t="str">
        <v>Tuesday, March 19, 2024</v>
      </c>
      <c r="B25" s="38"/>
      <c r="C25" s="39"/>
      <c r="D25" s="39"/>
      <c r="E25" s="39"/>
      <c r="F25" s="39"/>
      <c r="G25" s="39"/>
      <c r="H25" s="39"/>
      <c r="I25" s="39"/>
      <c r="J25" s="40"/>
    </row>
    <row r="26" spans="1:10" x14ac:dyDescent="0.25">
      <c r="A26" s="43" t="str">
        <v>Wednesday, March 20, 2024</v>
      </c>
      <c r="B26" s="38"/>
      <c r="C26" s="39"/>
      <c r="D26" s="39"/>
      <c r="E26" s="39"/>
      <c r="F26" s="39"/>
      <c r="G26" s="39"/>
      <c r="H26" s="39"/>
      <c r="I26" s="39"/>
      <c r="J26" s="40"/>
    </row>
    <row r="27" spans="1:10" x14ac:dyDescent="0.25">
      <c r="A27" s="43" t="str">
        <v>Thursday, March 21, 2024</v>
      </c>
      <c r="B27" s="38"/>
      <c r="C27" s="39"/>
      <c r="D27" s="39"/>
      <c r="E27" s="39"/>
      <c r="F27" s="39"/>
      <c r="G27" s="39"/>
      <c r="H27" s="39"/>
      <c r="I27" s="39"/>
      <c r="J27" s="40"/>
    </row>
    <row r="28" spans="1:10" x14ac:dyDescent="0.25">
      <c r="A28" s="43" t="str">
        <v>Friday, March 22, 2024</v>
      </c>
      <c r="B28" s="38"/>
      <c r="C28" s="39"/>
      <c r="D28" s="39"/>
      <c r="E28" s="39"/>
      <c r="F28" s="39"/>
      <c r="G28" s="39"/>
      <c r="H28" s="39"/>
      <c r="I28" s="39"/>
      <c r="J28" s="40"/>
    </row>
    <row r="29" spans="1:10" x14ac:dyDescent="0.25">
      <c r="A29" s="43" t="str">
        <v>Saturday, March 23, 2024</v>
      </c>
      <c r="B29" s="38"/>
      <c r="C29" s="39"/>
      <c r="D29" s="39"/>
      <c r="E29" s="39"/>
      <c r="F29" s="39"/>
      <c r="G29" s="39"/>
      <c r="H29" s="39"/>
      <c r="I29" s="39"/>
      <c r="J29" s="40"/>
    </row>
    <row r="30" spans="1:10" x14ac:dyDescent="0.25">
      <c r="A30" s="43" t="str">
        <v>Sunday, March 24, 2024</v>
      </c>
      <c r="B30" s="38"/>
      <c r="C30" s="39"/>
      <c r="D30" s="39"/>
      <c r="E30" s="39"/>
      <c r="F30" s="39"/>
      <c r="G30" s="39"/>
      <c r="H30" s="39"/>
      <c r="I30" s="39"/>
      <c r="J30" s="40"/>
    </row>
    <row r="31" spans="1:10" x14ac:dyDescent="0.25">
      <c r="A31" s="43" t="str">
        <v>Monday, March 25, 2024</v>
      </c>
      <c r="B31" s="38"/>
      <c r="C31" s="39"/>
      <c r="D31" s="39"/>
      <c r="E31" s="39"/>
      <c r="F31" s="39"/>
      <c r="G31" s="39"/>
      <c r="H31" s="39"/>
      <c r="I31" s="39"/>
      <c r="J31" s="40"/>
    </row>
    <row r="32" spans="1:10" x14ac:dyDescent="0.25">
      <c r="A32" s="43" t="str">
        <v>Tuesday, March 26, 2024</v>
      </c>
      <c r="B32" s="38"/>
      <c r="C32" s="39"/>
      <c r="D32" s="39"/>
      <c r="E32" s="39"/>
      <c r="F32" s="39"/>
      <c r="G32" s="39"/>
      <c r="H32" s="39"/>
      <c r="I32" s="39"/>
      <c r="J32" s="40"/>
    </row>
    <row r="33" spans="1:10" x14ac:dyDescent="0.25">
      <c r="A33" s="43" t="str">
        <v>Wednesday, March 27, 2024</v>
      </c>
      <c r="B33" s="38"/>
      <c r="C33" s="39"/>
      <c r="D33" s="39"/>
      <c r="E33" s="39"/>
      <c r="F33" s="39"/>
      <c r="G33" s="39"/>
      <c r="H33" s="39"/>
      <c r="I33" s="39"/>
      <c r="J33" s="40"/>
    </row>
    <row r="34" spans="1:10" x14ac:dyDescent="0.25">
      <c r="A34" s="43" t="str">
        <v>Thursday, March 28, 2024</v>
      </c>
      <c r="B34" s="38"/>
      <c r="C34" s="39"/>
      <c r="D34" s="39"/>
      <c r="E34" s="39"/>
      <c r="F34" s="39"/>
      <c r="G34" s="39"/>
      <c r="H34" s="39"/>
      <c r="I34" s="39"/>
      <c r="J34" s="40"/>
    </row>
    <row r="35" spans="1:10" x14ac:dyDescent="0.25">
      <c r="A35" s="43" t="str">
        <v>Friday, March 29, 2024</v>
      </c>
      <c r="B35" s="38"/>
      <c r="C35" s="39"/>
      <c r="D35" s="39"/>
      <c r="E35" s="39"/>
      <c r="F35" s="39"/>
      <c r="G35" s="39"/>
      <c r="H35" s="39"/>
      <c r="I35" s="39"/>
      <c r="J35" s="40"/>
    </row>
    <row r="36" spans="1:10" x14ac:dyDescent="0.25">
      <c r="A36" s="43" t="str">
        <v>Saturday, March 30, 2024</v>
      </c>
      <c r="B36" s="38"/>
      <c r="C36" s="39"/>
      <c r="D36" s="39"/>
      <c r="E36" s="39"/>
      <c r="F36" s="39"/>
      <c r="G36" s="39"/>
      <c r="H36" s="39"/>
      <c r="I36" s="39"/>
      <c r="J36" s="40"/>
    </row>
    <row r="37" spans="1:10" x14ac:dyDescent="0.25">
      <c r="A37" s="43" t="str">
        <v>Sunday, March 31, 2024</v>
      </c>
      <c r="B37" s="38"/>
      <c r="C37" s="39"/>
      <c r="D37" s="39"/>
      <c r="E37" s="39"/>
      <c r="F37" s="39"/>
      <c r="G37" s="39"/>
      <c r="H37" s="39"/>
      <c r="I37" s="39"/>
      <c r="J37" s="40"/>
    </row>
    <row r="38" spans="1:10" x14ac:dyDescent="0.25">
      <c r="A38" s="25"/>
      <c r="B38" s="27"/>
      <c r="C38" s="26"/>
      <c r="D38" s="26"/>
      <c r="E38" s="26"/>
      <c r="F38" s="26"/>
      <c r="G38" s="26"/>
      <c r="H38" s="26"/>
      <c r="I38" s="26"/>
      <c r="J38" s="26"/>
    </row>
    <row r="39" spans="1:10" ht="13" x14ac:dyDescent="0.3">
      <c r="A39" s="19"/>
      <c r="B39" s="28"/>
      <c r="C39" s="14"/>
      <c r="D39" s="14"/>
      <c r="E39" s="14"/>
      <c r="F39" s="29"/>
      <c r="G39" s="14"/>
      <c r="H39" s="14"/>
      <c r="I39" s="14"/>
      <c r="J39" s="2"/>
    </row>
    <row r="40" spans="1:10" ht="13" x14ac:dyDescent="0.3">
      <c r="A40" s="30"/>
      <c r="B40" s="8" t="str">
        <f>C4&amp;" "&amp;F4&amp;" HOURS"</f>
        <v>March 2024 HOURS</v>
      </c>
      <c r="C40" s="15">
        <f t="shared" ref="C40:I40" si="0">SUM(C7:C39)</f>
        <v>0</v>
      </c>
      <c r="D40" s="7">
        <f t="shared" si="0"/>
        <v>0</v>
      </c>
      <c r="E40" s="15">
        <f t="shared" si="0"/>
        <v>0</v>
      </c>
      <c r="F40" s="7">
        <f t="shared" si="0"/>
        <v>0</v>
      </c>
      <c r="G40" s="15">
        <f t="shared" si="0"/>
        <v>0</v>
      </c>
      <c r="H40" s="7">
        <f t="shared" si="0"/>
        <v>0</v>
      </c>
      <c r="I40" s="7">
        <f t="shared" si="0"/>
        <v>0</v>
      </c>
      <c r="J40" s="24"/>
    </row>
    <row r="44" spans="1:10" x14ac:dyDescent="0.25">
      <c r="A44" t="str">
        <f>IFERROR(IF(A45="","","X"),"")</f>
        <v/>
      </c>
      <c r="F44" s="52" t="str">
        <f>IFERROR(IF(F45="","","X"),"")</f>
        <v/>
      </c>
      <c r="G44" s="52" t="str">
        <f>IFERROR(IF(G45="","","X"),"")</f>
        <v/>
      </c>
      <c r="H44" s="52" t="str">
        <f>IFERROR(IF(H45="","","X"),"")</f>
        <v/>
      </c>
      <c r="I44" s="52" t="str">
        <f>IFERROR(IF(I45="","","X"),"")</f>
        <v/>
      </c>
    </row>
    <row r="45" spans="1:10" x14ac:dyDescent="0.25">
      <c r="A45" s="33" t="str">
        <f>IFERROR(IF(AB2&gt;0,AA2,""),"")</f>
        <v/>
      </c>
      <c r="F45" s="51" t="str">
        <f>IFERROR(IF(AB$2&gt;1,AA3,""),"")</f>
        <v/>
      </c>
      <c r="G45" s="51"/>
      <c r="H45" s="51"/>
      <c r="I45" s="51"/>
    </row>
    <row r="46" spans="1:10" x14ac:dyDescent="0.25">
      <c r="A46" s="33" t="str">
        <f>IFERROR(VLOOKUP(A45,Sheet1!$D$2:$F$52,3,TRUE),"")</f>
        <v/>
      </c>
      <c r="F46" s="51" t="str">
        <f>IFERROR(VLOOKUP(F45,Sheet1!$D$2:$F$52,3,TRUE),"")</f>
        <v/>
      </c>
      <c r="G46" s="51" t="str">
        <f>IFERROR(VLOOKUP(G45,Sheet1!$D$2:$F$52,3,TRUE),"")</f>
        <v/>
      </c>
      <c r="H46" s="51" t="str">
        <f>IFERROR(VLOOKUP(H45,Sheet1!$D$2:$F$52,3,TRUE),"")</f>
        <v/>
      </c>
      <c r="I46" s="51" t="str">
        <f>IFERROR(VLOOKUP(I45,Sheet1!$D$2:$F$52,3,TRUE),"")</f>
        <v/>
      </c>
    </row>
    <row r="47" spans="1:10" x14ac:dyDescent="0.25">
      <c r="A47" t="str">
        <f>IFERROR(VLOOKUP(A45,Sheet1!$D$2:$F$52,2,TRUE),"")</f>
        <v/>
      </c>
      <c r="F47" s="50" t="str">
        <f>IFERROR(VLOOKUP(F45,Sheet1!$D$2:$F$52,2,TRUE),"")</f>
        <v/>
      </c>
      <c r="G47" s="50" t="str">
        <f>IFERROR(VLOOKUP(G45,Sheet1!$D$2:$F$52,2,TRUE),"")</f>
        <v/>
      </c>
      <c r="H47" s="50" t="str">
        <f>IFERROR(VLOOKUP(H45,Sheet1!$D$2:$F$52,2,TRUE),"")</f>
        <v/>
      </c>
      <c r="I47" s="50" t="str">
        <f>IFERROR(VLOOKUP(I45,Sheet1!$D$2:$F$52,2,TRUE),"")</f>
        <v/>
      </c>
    </row>
    <row r="50" spans="1:9" x14ac:dyDescent="0.25">
      <c r="A50" t="str">
        <f>IFERROR(IF(A51="","","X"),"")</f>
        <v/>
      </c>
      <c r="F50" s="50" t="str">
        <f>IFERROR(IF(F51="","","X"),"")</f>
        <v/>
      </c>
      <c r="G50" s="50"/>
      <c r="H50" s="50"/>
      <c r="I50" s="50"/>
    </row>
    <row r="51" spans="1:9" x14ac:dyDescent="0.25">
      <c r="A51" s="33" t="str">
        <f>IFERROR(IF(AB2&gt;2,AA4,""),"")</f>
        <v/>
      </c>
      <c r="F51" s="51" t="str">
        <f>IFERROR(IF(AB2&gt;3,AA5,""),"")</f>
        <v/>
      </c>
      <c r="G51" s="51"/>
      <c r="H51" s="51"/>
      <c r="I51" s="51"/>
    </row>
    <row r="52" spans="1:9" x14ac:dyDescent="0.25">
      <c r="A52" s="33" t="str">
        <f>IFERROR(VLOOKUP(A51,Sheet1!$D$2:$F$52,3,TRUE),"")</f>
        <v/>
      </c>
      <c r="F52" s="51" t="str">
        <f>IFERROR(VLOOKUP(F51,Sheet1!$D$2:$F$52,3,TRUE),"")</f>
        <v/>
      </c>
      <c r="G52" s="51"/>
      <c r="H52" s="51"/>
      <c r="I52" s="51"/>
    </row>
    <row r="53" spans="1:9" x14ac:dyDescent="0.25">
      <c r="A53" t="str">
        <f>IFERROR(VLOOKUP(A51,Sheet1!$D$2:$F$52,2,TRUE),"")</f>
        <v/>
      </c>
      <c r="F53" s="50" t="str">
        <f>IFERROR(VLOOKUP(F51,Sheet1!$D$2:$F$52,2,TRUE),"")</f>
        <v/>
      </c>
      <c r="G53" s="50"/>
      <c r="H53" s="50"/>
      <c r="I53" s="50"/>
    </row>
    <row r="56" spans="1:9" x14ac:dyDescent="0.25">
      <c r="A56" t="str">
        <f>IFERROR(IF(A57="","","X"),"")</f>
        <v/>
      </c>
      <c r="F56" s="50" t="str">
        <f>IFERROR(IF(F57="","","X"),"")</f>
        <v/>
      </c>
      <c r="G56" s="50"/>
      <c r="H56" s="50"/>
      <c r="I56" s="50"/>
    </row>
    <row r="57" spans="1:9" x14ac:dyDescent="0.25">
      <c r="A57" t="str">
        <f>IFERROR(IF(AB2&gt;4,AA6,""),"")</f>
        <v/>
      </c>
      <c r="F57" s="51" t="str">
        <f>IFERROR(IF(AB2&gt;5,AA7,""),"")</f>
        <v/>
      </c>
      <c r="G57" s="51"/>
      <c r="H57" s="51"/>
      <c r="I57" s="51"/>
    </row>
    <row r="58" spans="1:9" x14ac:dyDescent="0.25">
      <c r="A58" t="str">
        <f>IFERROR(VLOOKUP(A57,Sheet1!$D$2:$F$52,3,TRUE),"")</f>
        <v/>
      </c>
      <c r="F58" s="51" t="str">
        <f>IFERROR(VLOOKUP(F57,Sheet1!$D$2:$F$52,3,TRUE),"")</f>
        <v/>
      </c>
      <c r="G58" s="51"/>
      <c r="H58" s="51"/>
      <c r="I58" s="51"/>
    </row>
    <row r="59" spans="1:9" x14ac:dyDescent="0.25">
      <c r="A59" t="str">
        <f>IFERROR(VLOOKUP(A57,Sheet1!$D$2:$F$52,2,TRUE),"")</f>
        <v/>
      </c>
      <c r="F59" s="50" t="str">
        <f>IFERROR(VLOOKUP(F57,Sheet1!$D$2:$F$52,2,TRUE),"")</f>
        <v/>
      </c>
      <c r="G59" s="50"/>
      <c r="H59" s="50"/>
      <c r="I59" s="50"/>
    </row>
  </sheetData>
  <sheetProtection algorithmName="SHA-512" hashValue="vl5e+auqD/oIOJBxFkBLhRnS5KeDJfxFI6xC3M3W/mBIsYCRMhlEoUuyAdTNh4gbEsFwA3xO+vTj0q6Fa+Nz8g==" saltValue="p1/4O4+6vHFqz1r5pRPn9w==" spinCount="100000" sheet="1" objects="1" scenarios="1"/>
  <mergeCells count="17">
    <mergeCell ref="F53:I53"/>
    <mergeCell ref="F56:I56"/>
    <mergeCell ref="F57:I57"/>
    <mergeCell ref="F58:I58"/>
    <mergeCell ref="F59:I59"/>
    <mergeCell ref="F52:I52"/>
    <mergeCell ref="A1:E1"/>
    <mergeCell ref="F1:J1"/>
    <mergeCell ref="A3:J3"/>
    <mergeCell ref="C4:E4"/>
    <mergeCell ref="F4:G4"/>
    <mergeCell ref="F44:I44"/>
    <mergeCell ref="F45:I45"/>
    <mergeCell ref="F46:I46"/>
    <mergeCell ref="F47:I47"/>
    <mergeCell ref="F50:I50"/>
    <mergeCell ref="F51:I51"/>
  </mergeCells>
  <conditionalFormatting sqref="A44:B44">
    <cfRule type="expression" dxfId="59" priority="6" stopIfTrue="1">
      <formula>$A$45&lt;&gt;""</formula>
    </cfRule>
  </conditionalFormatting>
  <conditionalFormatting sqref="A50:B50">
    <cfRule type="expression" dxfId="58" priority="4" stopIfTrue="1">
      <formula>$A$51&lt;&gt;""</formula>
    </cfRule>
  </conditionalFormatting>
  <conditionalFormatting sqref="A56:B56">
    <cfRule type="expression" dxfId="57" priority="2" stopIfTrue="1">
      <formula>$A$57&lt;&gt;""</formula>
    </cfRule>
  </conditionalFormatting>
  <conditionalFormatting sqref="F44:J44">
    <cfRule type="expression" dxfId="56" priority="5" stopIfTrue="1">
      <formula>$F$45&lt;&gt;""</formula>
    </cfRule>
  </conditionalFormatting>
  <conditionalFormatting sqref="F50:J50">
    <cfRule type="expression" dxfId="55" priority="3" stopIfTrue="1">
      <formula>$F$51&lt;&gt;""</formula>
    </cfRule>
  </conditionalFormatting>
  <conditionalFormatting sqref="F56:J56">
    <cfRule type="expression" dxfId="54" priority="1" stopIfTrue="1">
      <formula>$F$57&lt;&gt;""</formula>
    </cfRule>
  </conditionalFormatting>
  <pageMargins left="0.5" right="0.5" top="0.5" bottom="0.5" header="0.5" footer="0.5"/>
  <pageSetup scale="75" orientation="portrait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D5244C4-1CCC-4319-AE70-70B8DD971E0C}">
          <x14:formula1>
            <xm:f>Sheet1!$D:$D</xm:f>
          </x14:formula1>
          <xm:sqref>J7:J37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2CB84-4CC5-4812-8A5A-03B11C74B4B1}">
  <sheetPr>
    <pageSetUpPr fitToPage="1"/>
  </sheetPr>
  <dimension ref="A1:AB58"/>
  <sheetViews>
    <sheetView zoomScaleNormal="100" workbookViewId="0">
      <selection activeCell="F1" sqref="F1:J1"/>
    </sheetView>
  </sheetViews>
  <sheetFormatPr defaultColWidth="8.81640625" defaultRowHeight="12.5" x14ac:dyDescent="0.25"/>
  <cols>
    <col min="1" max="1" width="25.81640625" customWidth="1"/>
    <col min="2" max="2" width="24" customWidth="1"/>
    <col min="3" max="3" width="7.1796875" style="2" customWidth="1"/>
    <col min="4" max="4" width="6.1796875" style="2" customWidth="1"/>
    <col min="5" max="5" width="6.54296875" style="2" customWidth="1"/>
    <col min="6" max="6" width="6.54296875" customWidth="1"/>
    <col min="7" max="8" width="6.81640625" style="2" customWidth="1"/>
    <col min="9" max="9" width="7.453125" style="2" customWidth="1"/>
    <col min="10" max="10" width="32.453125" customWidth="1"/>
    <col min="27" max="27" width="15.1796875" bestFit="1" customWidth="1"/>
  </cols>
  <sheetData>
    <row r="1" spans="1:28" ht="72.75" customHeight="1" thickBot="1" x14ac:dyDescent="0.4">
      <c r="A1" s="44"/>
      <c r="B1" s="44"/>
      <c r="C1" s="44"/>
      <c r="D1" s="44"/>
      <c r="E1" s="44"/>
      <c r="F1" s="45" t="s">
        <v>138</v>
      </c>
      <c r="G1" s="46"/>
      <c r="H1" s="46"/>
      <c r="I1" s="46"/>
      <c r="J1" s="46"/>
    </row>
    <row r="2" spans="1:28" ht="15.5" x14ac:dyDescent="0.35">
      <c r="B2" s="5"/>
      <c r="C2" s="13"/>
      <c r="D2" s="13"/>
      <c r="E2" s="13"/>
      <c r="F2" s="5"/>
      <c r="G2" s="13"/>
      <c r="H2" s="13"/>
      <c r="I2" s="13"/>
      <c r="J2" s="5"/>
      <c r="AA2" t="str" cm="1">
        <f t="array" ref="AA2">IFERROR(_xlfn.UNIQUE(_xlfn._xlws.FILTER(J7:J36,J7:J36&lt;&gt;"")),"")</f>
        <v/>
      </c>
      <c r="AB2">
        <f>COUNTA(AA:AA)</f>
        <v>1</v>
      </c>
    </row>
    <row r="3" spans="1:28" ht="15.5" x14ac:dyDescent="0.35">
      <c r="A3" s="47" t="s">
        <v>12</v>
      </c>
      <c r="B3" s="47"/>
      <c r="C3" s="47"/>
      <c r="D3" s="47"/>
      <c r="E3" s="47"/>
      <c r="F3" s="47"/>
      <c r="G3" s="47"/>
      <c r="H3" s="47"/>
      <c r="I3" s="47"/>
      <c r="J3" s="47"/>
    </row>
    <row r="4" spans="1:28" ht="20.25" customHeight="1" x14ac:dyDescent="0.3">
      <c r="A4" s="1" t="s">
        <v>0</v>
      </c>
      <c r="B4" s="4" t="str">
        <f>IF(Jan!B4="","",Jan!B4)</f>
        <v>Your Name</v>
      </c>
      <c r="C4" s="48" t="s">
        <v>16</v>
      </c>
      <c r="D4" s="48"/>
      <c r="E4" s="48"/>
      <c r="F4" s="53">
        <f>Jan!F4</f>
        <v>2024</v>
      </c>
      <c r="G4" s="54"/>
    </row>
    <row r="5" spans="1:28" ht="21" customHeight="1" x14ac:dyDescent="0.4">
      <c r="A5" s="3"/>
      <c r="B5" s="4"/>
      <c r="C5" s="14"/>
      <c r="D5" s="14"/>
      <c r="E5" s="16" t="s">
        <v>7</v>
      </c>
      <c r="F5" s="4"/>
      <c r="G5" s="14"/>
      <c r="H5" s="14"/>
      <c r="I5" s="14"/>
      <c r="J5" s="3" t="s">
        <v>26</v>
      </c>
      <c r="K5" s="1"/>
      <c r="L5" s="1"/>
    </row>
    <row r="6" spans="1:28" s="2" customFormat="1" ht="13.5" thickBot="1" x14ac:dyDescent="0.35">
      <c r="A6" s="9" t="s">
        <v>1</v>
      </c>
      <c r="B6" s="10" t="s">
        <v>2</v>
      </c>
      <c r="C6" s="10" t="s">
        <v>3</v>
      </c>
      <c r="D6" s="10" t="s">
        <v>4</v>
      </c>
      <c r="E6" s="10" t="s">
        <v>140</v>
      </c>
      <c r="F6" s="10" t="s">
        <v>5</v>
      </c>
      <c r="G6" s="10" t="s">
        <v>6</v>
      </c>
      <c r="H6" s="10" t="s">
        <v>143</v>
      </c>
      <c r="I6" s="10" t="s">
        <v>8</v>
      </c>
      <c r="J6" s="11"/>
    </row>
    <row r="7" spans="1:28" x14ac:dyDescent="0.25">
      <c r="A7" s="43" t="str" cm="1">
        <f t="array" ref="A7:A36">IFERROR(
_xlfn.LET(
_xlpm.yr,$F$4,
_xlpm.mn,IF(ISNUMBER($C$4),$C$4,MONTH(1&amp;$C$4)),
_xlpm.first,DATE(_xlpm.yr,_xlpm.mn,1),
_xlpm.daysInMonth,DAY(EOMONTH(_xlpm.first,0)),
TEXT(_xlpm.first+_xlfn.SEQUENCE(_xlpm.daysInMonth)-1,"dddd, mmmm d, yyyy")
),
"")</f>
        <v>Monday, April 1, 2024</v>
      </c>
      <c r="B7" s="38"/>
      <c r="C7" s="39"/>
      <c r="D7" s="39"/>
      <c r="E7" s="39"/>
      <c r="F7" s="39"/>
      <c r="G7" s="39"/>
      <c r="H7" s="39"/>
      <c r="I7" s="39"/>
      <c r="J7" s="40"/>
    </row>
    <row r="8" spans="1:28" x14ac:dyDescent="0.25">
      <c r="A8" s="43" t="str">
        <v>Tuesday, April 2, 2024</v>
      </c>
      <c r="B8" s="38"/>
      <c r="C8" s="39"/>
      <c r="D8" s="39"/>
      <c r="E8" s="39"/>
      <c r="F8" s="39"/>
      <c r="G8" s="39"/>
      <c r="H8" s="39"/>
      <c r="I8" s="39"/>
      <c r="J8" s="40"/>
    </row>
    <row r="9" spans="1:28" x14ac:dyDescent="0.25">
      <c r="A9" s="43" t="str">
        <v>Wednesday, April 3, 2024</v>
      </c>
      <c r="B9" s="38"/>
      <c r="C9" s="39"/>
      <c r="D9" s="39"/>
      <c r="E9" s="39"/>
      <c r="F9" s="39"/>
      <c r="G9" s="39"/>
      <c r="H9" s="39"/>
      <c r="I9" s="39"/>
      <c r="J9" s="40"/>
    </row>
    <row r="10" spans="1:28" x14ac:dyDescent="0.25">
      <c r="A10" s="43" t="str">
        <v>Thursday, April 4, 2024</v>
      </c>
      <c r="B10" s="38"/>
      <c r="C10" s="39"/>
      <c r="D10" s="39"/>
      <c r="E10" s="39"/>
      <c r="F10" s="39"/>
      <c r="G10" s="39"/>
      <c r="H10" s="39"/>
      <c r="I10" s="39"/>
      <c r="J10" s="40"/>
    </row>
    <row r="11" spans="1:28" x14ac:dyDescent="0.25">
      <c r="A11" s="43" t="str">
        <v>Friday, April 5, 2024</v>
      </c>
      <c r="B11" s="38"/>
      <c r="C11" s="39"/>
      <c r="D11" s="39"/>
      <c r="E11" s="39"/>
      <c r="F11" s="39"/>
      <c r="G11" s="39"/>
      <c r="H11" s="39"/>
      <c r="I11" s="39"/>
      <c r="J11" s="40"/>
    </row>
    <row r="12" spans="1:28" x14ac:dyDescent="0.25">
      <c r="A12" s="43" t="str">
        <v>Saturday, April 6, 2024</v>
      </c>
      <c r="B12" s="38"/>
      <c r="C12" s="39"/>
      <c r="D12" s="39"/>
      <c r="E12" s="39"/>
      <c r="F12" s="39"/>
      <c r="G12" s="39"/>
      <c r="H12" s="39"/>
      <c r="I12" s="39"/>
      <c r="J12" s="40"/>
    </row>
    <row r="13" spans="1:28" x14ac:dyDescent="0.25">
      <c r="A13" s="43" t="str">
        <v>Sunday, April 7, 2024</v>
      </c>
      <c r="B13" s="38"/>
      <c r="C13" s="39"/>
      <c r="D13" s="39"/>
      <c r="E13" s="39"/>
      <c r="F13" s="39"/>
      <c r="G13" s="39"/>
      <c r="H13" s="39"/>
      <c r="I13" s="39"/>
      <c r="J13" s="40"/>
    </row>
    <row r="14" spans="1:28" x14ac:dyDescent="0.25">
      <c r="A14" s="43" t="str">
        <v>Monday, April 8, 2024</v>
      </c>
      <c r="B14" s="38"/>
      <c r="C14" s="39"/>
      <c r="D14" s="39"/>
      <c r="E14" s="39"/>
      <c r="F14" s="39"/>
      <c r="G14" s="39"/>
      <c r="H14" s="39"/>
      <c r="I14" s="39"/>
      <c r="J14" s="40"/>
    </row>
    <row r="15" spans="1:28" x14ac:dyDescent="0.25">
      <c r="A15" s="43" t="str">
        <v>Tuesday, April 9, 2024</v>
      </c>
      <c r="B15" s="38"/>
      <c r="C15" s="39"/>
      <c r="D15" s="39"/>
      <c r="E15" s="39"/>
      <c r="F15" s="39"/>
      <c r="G15" s="39"/>
      <c r="H15" s="39"/>
      <c r="I15" s="39"/>
      <c r="J15" s="40"/>
    </row>
    <row r="16" spans="1:28" x14ac:dyDescent="0.25">
      <c r="A16" s="43" t="str">
        <v>Wednesday, April 10, 2024</v>
      </c>
      <c r="B16" s="38"/>
      <c r="C16" s="39"/>
      <c r="D16" s="39"/>
      <c r="E16" s="39"/>
      <c r="F16" s="39"/>
      <c r="G16" s="39"/>
      <c r="H16" s="39"/>
      <c r="I16" s="39"/>
      <c r="J16" s="40"/>
    </row>
    <row r="17" spans="1:10" x14ac:dyDescent="0.25">
      <c r="A17" s="43" t="str">
        <v>Thursday, April 11, 2024</v>
      </c>
      <c r="B17" s="38"/>
      <c r="C17" s="39"/>
      <c r="D17" s="39"/>
      <c r="E17" s="39"/>
      <c r="F17" s="39"/>
      <c r="G17" s="39"/>
      <c r="H17" s="39"/>
      <c r="I17" s="39"/>
      <c r="J17" s="40"/>
    </row>
    <row r="18" spans="1:10" x14ac:dyDescent="0.25">
      <c r="A18" s="43" t="str">
        <v>Friday, April 12, 2024</v>
      </c>
      <c r="B18" s="38"/>
      <c r="C18" s="39"/>
      <c r="D18" s="39"/>
      <c r="E18" s="39"/>
      <c r="F18" s="39"/>
      <c r="G18" s="39"/>
      <c r="H18" s="39"/>
      <c r="I18" s="39"/>
      <c r="J18" s="40"/>
    </row>
    <row r="19" spans="1:10" x14ac:dyDescent="0.25">
      <c r="A19" s="43" t="str">
        <v>Saturday, April 13, 2024</v>
      </c>
      <c r="B19" s="38"/>
      <c r="C19" s="39"/>
      <c r="D19" s="39"/>
      <c r="E19" s="39"/>
      <c r="F19" s="39"/>
      <c r="G19" s="39"/>
      <c r="H19" s="39"/>
      <c r="I19" s="39"/>
      <c r="J19" s="40"/>
    </row>
    <row r="20" spans="1:10" x14ac:dyDescent="0.25">
      <c r="A20" s="43" t="str">
        <v>Sunday, April 14, 2024</v>
      </c>
      <c r="B20" s="38"/>
      <c r="C20" s="39"/>
      <c r="D20" s="39"/>
      <c r="E20" s="39"/>
      <c r="F20" s="39"/>
      <c r="G20" s="39"/>
      <c r="H20" s="39"/>
      <c r="I20" s="39"/>
      <c r="J20" s="40"/>
    </row>
    <row r="21" spans="1:10" x14ac:dyDescent="0.25">
      <c r="A21" s="43" t="str">
        <v>Monday, April 15, 2024</v>
      </c>
      <c r="B21" s="38"/>
      <c r="C21" s="39"/>
      <c r="D21" s="39"/>
      <c r="E21" s="39"/>
      <c r="F21" s="39"/>
      <c r="G21" s="39"/>
      <c r="H21" s="39"/>
      <c r="I21" s="39"/>
      <c r="J21" s="40"/>
    </row>
    <row r="22" spans="1:10" x14ac:dyDescent="0.25">
      <c r="A22" s="43" t="str">
        <v>Tuesday, April 16, 2024</v>
      </c>
      <c r="B22" s="38"/>
      <c r="C22" s="39"/>
      <c r="D22" s="39"/>
      <c r="E22" s="39"/>
      <c r="F22" s="39"/>
      <c r="G22" s="39"/>
      <c r="H22" s="39"/>
      <c r="I22" s="39"/>
      <c r="J22" s="40"/>
    </row>
    <row r="23" spans="1:10" x14ac:dyDescent="0.25">
      <c r="A23" s="43" t="str">
        <v>Wednesday, April 17, 2024</v>
      </c>
      <c r="B23" s="38"/>
      <c r="C23" s="39"/>
      <c r="D23" s="39"/>
      <c r="E23" s="39"/>
      <c r="F23" s="39"/>
      <c r="G23" s="39"/>
      <c r="H23" s="39"/>
      <c r="I23" s="39"/>
      <c r="J23" s="40"/>
    </row>
    <row r="24" spans="1:10" x14ac:dyDescent="0.25">
      <c r="A24" s="43" t="str">
        <v>Thursday, April 18, 2024</v>
      </c>
      <c r="B24" s="38"/>
      <c r="C24" s="39"/>
      <c r="D24" s="39"/>
      <c r="E24" s="39"/>
      <c r="F24" s="39"/>
      <c r="G24" s="39"/>
      <c r="H24" s="39"/>
      <c r="I24" s="39"/>
      <c r="J24" s="40"/>
    </row>
    <row r="25" spans="1:10" x14ac:dyDescent="0.25">
      <c r="A25" s="43" t="str">
        <v>Friday, April 19, 2024</v>
      </c>
      <c r="B25" s="38"/>
      <c r="C25" s="39"/>
      <c r="D25" s="39"/>
      <c r="E25" s="39"/>
      <c r="F25" s="39"/>
      <c r="G25" s="39"/>
      <c r="H25" s="39"/>
      <c r="I25" s="39"/>
      <c r="J25" s="40"/>
    </row>
    <row r="26" spans="1:10" x14ac:dyDescent="0.25">
      <c r="A26" s="43" t="str">
        <v>Saturday, April 20, 2024</v>
      </c>
      <c r="B26" s="38"/>
      <c r="C26" s="39"/>
      <c r="D26" s="39"/>
      <c r="E26" s="39"/>
      <c r="F26" s="39"/>
      <c r="G26" s="39"/>
      <c r="H26" s="39"/>
      <c r="I26" s="39"/>
      <c r="J26" s="40"/>
    </row>
    <row r="27" spans="1:10" x14ac:dyDescent="0.25">
      <c r="A27" s="43" t="str">
        <v>Sunday, April 21, 2024</v>
      </c>
      <c r="B27" s="38"/>
      <c r="C27" s="39"/>
      <c r="D27" s="39"/>
      <c r="E27" s="39"/>
      <c r="F27" s="39"/>
      <c r="G27" s="39"/>
      <c r="H27" s="39"/>
      <c r="I27" s="39"/>
      <c r="J27" s="40"/>
    </row>
    <row r="28" spans="1:10" x14ac:dyDescent="0.25">
      <c r="A28" s="43" t="str">
        <v>Monday, April 22, 2024</v>
      </c>
      <c r="B28" s="38"/>
      <c r="C28" s="39"/>
      <c r="D28" s="39"/>
      <c r="E28" s="39"/>
      <c r="F28" s="39"/>
      <c r="G28" s="39"/>
      <c r="H28" s="39"/>
      <c r="I28" s="39"/>
      <c r="J28" s="40"/>
    </row>
    <row r="29" spans="1:10" x14ac:dyDescent="0.25">
      <c r="A29" s="43" t="str">
        <v>Tuesday, April 23, 2024</v>
      </c>
      <c r="B29" s="38"/>
      <c r="C29" s="39"/>
      <c r="D29" s="39"/>
      <c r="E29" s="39"/>
      <c r="F29" s="39"/>
      <c r="G29" s="39"/>
      <c r="H29" s="39"/>
      <c r="I29" s="39"/>
      <c r="J29" s="40"/>
    </row>
    <row r="30" spans="1:10" x14ac:dyDescent="0.25">
      <c r="A30" s="43" t="str">
        <v>Wednesday, April 24, 2024</v>
      </c>
      <c r="B30" s="38"/>
      <c r="C30" s="39"/>
      <c r="D30" s="39"/>
      <c r="E30" s="39"/>
      <c r="F30" s="39"/>
      <c r="G30" s="39"/>
      <c r="H30" s="39"/>
      <c r="I30" s="39"/>
      <c r="J30" s="40"/>
    </row>
    <row r="31" spans="1:10" x14ac:dyDescent="0.25">
      <c r="A31" s="43" t="str">
        <v>Thursday, April 25, 2024</v>
      </c>
      <c r="B31" s="38"/>
      <c r="C31" s="39"/>
      <c r="D31" s="39"/>
      <c r="E31" s="39"/>
      <c r="F31" s="39"/>
      <c r="G31" s="39"/>
      <c r="H31" s="39"/>
      <c r="I31" s="39"/>
      <c r="J31" s="40"/>
    </row>
    <row r="32" spans="1:10" x14ac:dyDescent="0.25">
      <c r="A32" s="43" t="str">
        <v>Friday, April 26, 2024</v>
      </c>
      <c r="B32" s="38"/>
      <c r="C32" s="39"/>
      <c r="D32" s="39"/>
      <c r="E32" s="39"/>
      <c r="F32" s="39"/>
      <c r="G32" s="39"/>
      <c r="H32" s="39"/>
      <c r="I32" s="39"/>
      <c r="J32" s="40"/>
    </row>
    <row r="33" spans="1:10" x14ac:dyDescent="0.25">
      <c r="A33" s="43" t="str">
        <v>Saturday, April 27, 2024</v>
      </c>
      <c r="B33" s="38"/>
      <c r="C33" s="39"/>
      <c r="D33" s="39"/>
      <c r="E33" s="39"/>
      <c r="F33" s="39"/>
      <c r="G33" s="39"/>
      <c r="H33" s="39"/>
      <c r="I33" s="39"/>
      <c r="J33" s="40"/>
    </row>
    <row r="34" spans="1:10" x14ac:dyDescent="0.25">
      <c r="A34" s="43" t="str">
        <v>Sunday, April 28, 2024</v>
      </c>
      <c r="B34" s="38"/>
      <c r="C34" s="39"/>
      <c r="D34" s="39"/>
      <c r="E34" s="39"/>
      <c r="F34" s="39"/>
      <c r="G34" s="39"/>
      <c r="H34" s="39"/>
      <c r="I34" s="39"/>
      <c r="J34" s="40"/>
    </row>
    <row r="35" spans="1:10" x14ac:dyDescent="0.25">
      <c r="A35" s="43" t="str">
        <v>Monday, April 29, 2024</v>
      </c>
      <c r="B35" s="38"/>
      <c r="C35" s="39"/>
      <c r="D35" s="39"/>
      <c r="E35" s="39"/>
      <c r="F35" s="39"/>
      <c r="G35" s="39"/>
      <c r="H35" s="39"/>
      <c r="I35" s="39"/>
      <c r="J35" s="40"/>
    </row>
    <row r="36" spans="1:10" x14ac:dyDescent="0.25">
      <c r="A36" s="43" t="str">
        <v>Tuesday, April 30, 2024</v>
      </c>
      <c r="B36" s="38"/>
      <c r="C36" s="39"/>
      <c r="D36" s="39"/>
      <c r="E36" s="39"/>
      <c r="F36" s="39"/>
      <c r="G36" s="39"/>
      <c r="H36" s="39"/>
      <c r="I36" s="39"/>
      <c r="J36" s="40"/>
    </row>
    <row r="37" spans="1:10" x14ac:dyDescent="0.25">
      <c r="A37" s="25"/>
      <c r="B37" s="27"/>
      <c r="C37" s="26"/>
      <c r="D37" s="26"/>
      <c r="E37" s="26"/>
      <c r="F37" s="26"/>
      <c r="G37" s="26"/>
      <c r="H37" s="26"/>
      <c r="I37" s="26"/>
      <c r="J37" s="26"/>
    </row>
    <row r="38" spans="1:10" ht="13" x14ac:dyDescent="0.3">
      <c r="A38" s="19"/>
      <c r="B38" s="28"/>
      <c r="C38" s="14"/>
      <c r="D38" s="14"/>
      <c r="E38" s="14"/>
      <c r="F38" s="29"/>
      <c r="G38" s="14"/>
      <c r="H38" s="14"/>
      <c r="I38" s="14"/>
      <c r="J38" s="2"/>
    </row>
    <row r="39" spans="1:10" ht="13" x14ac:dyDescent="0.3">
      <c r="A39" s="30"/>
      <c r="B39" s="8" t="str">
        <f>C4&amp;" "&amp;F4&amp;" HOURS"</f>
        <v>April 2024 HOURS</v>
      </c>
      <c r="C39" s="15">
        <f t="shared" ref="C39:I39" si="0">SUM(C7:C38)</f>
        <v>0</v>
      </c>
      <c r="D39" s="7">
        <f t="shared" si="0"/>
        <v>0</v>
      </c>
      <c r="E39" s="15">
        <f t="shared" si="0"/>
        <v>0</v>
      </c>
      <c r="F39" s="7">
        <f t="shared" si="0"/>
        <v>0</v>
      </c>
      <c r="G39" s="15">
        <f t="shared" si="0"/>
        <v>0</v>
      </c>
      <c r="H39" s="7">
        <f t="shared" si="0"/>
        <v>0</v>
      </c>
      <c r="I39" s="7">
        <f t="shared" si="0"/>
        <v>0</v>
      </c>
      <c r="J39" s="24"/>
    </row>
    <row r="43" spans="1:10" x14ac:dyDescent="0.25">
      <c r="A43" t="str">
        <f>IFERROR(IF(A44="","","X"),"")</f>
        <v/>
      </c>
      <c r="F43" s="52" t="str">
        <f>IFERROR(IF(F44="","","X"),"")</f>
        <v/>
      </c>
      <c r="G43" s="52" t="str">
        <f>IFERROR(IF(G44="","","X"),"")</f>
        <v/>
      </c>
      <c r="H43" s="52" t="str">
        <f>IFERROR(IF(H44="","","X"),"")</f>
        <v/>
      </c>
      <c r="I43" s="52" t="str">
        <f>IFERROR(IF(I44="","","X"),"")</f>
        <v/>
      </c>
    </row>
    <row r="44" spans="1:10" x14ac:dyDescent="0.25">
      <c r="A44" s="33" t="str">
        <f>IFERROR(IF(AB2&gt;0,AA2,""),"")</f>
        <v/>
      </c>
      <c r="F44" s="51" t="str">
        <f>IFERROR(IF(AB$2&gt;1,AA3,""),"")</f>
        <v/>
      </c>
      <c r="G44" s="51"/>
      <c r="H44" s="51"/>
      <c r="I44" s="51"/>
    </row>
    <row r="45" spans="1:10" x14ac:dyDescent="0.25">
      <c r="A45" s="33" t="str">
        <f>IFERROR(VLOOKUP(A44,Sheet1!$D$2:$F$52,3,TRUE),"")</f>
        <v/>
      </c>
      <c r="F45" s="51" t="str">
        <f>IFERROR(VLOOKUP(F44,Sheet1!$D$2:$F$52,3,TRUE),"")</f>
        <v/>
      </c>
      <c r="G45" s="51" t="str">
        <f>IFERROR(VLOOKUP(G44,Sheet1!$D$2:$F$52,3,TRUE),"")</f>
        <v/>
      </c>
      <c r="H45" s="51" t="str">
        <f>IFERROR(VLOOKUP(H44,Sheet1!$D$2:$F$52,3,TRUE),"")</f>
        <v/>
      </c>
      <c r="I45" s="51" t="str">
        <f>IFERROR(VLOOKUP(I44,Sheet1!$D$2:$F$52,3,TRUE),"")</f>
        <v/>
      </c>
    </row>
    <row r="46" spans="1:10" x14ac:dyDescent="0.25">
      <c r="A46" t="str">
        <f>IFERROR(VLOOKUP(A44,Sheet1!$D$2:$F$52,2,TRUE),"")</f>
        <v/>
      </c>
      <c r="F46" s="50" t="str">
        <f>IFERROR(VLOOKUP(F44,Sheet1!$D$2:$F$52,2,TRUE),"")</f>
        <v/>
      </c>
      <c r="G46" s="50" t="str">
        <f>IFERROR(VLOOKUP(G44,Sheet1!$D$2:$F$52,2,TRUE),"")</f>
        <v/>
      </c>
      <c r="H46" s="50" t="str">
        <f>IFERROR(VLOOKUP(H44,Sheet1!$D$2:$F$52,2,TRUE),"")</f>
        <v/>
      </c>
      <c r="I46" s="50" t="str">
        <f>IFERROR(VLOOKUP(I44,Sheet1!$D$2:$F$52,2,TRUE),"")</f>
        <v/>
      </c>
    </row>
    <row r="49" spans="1:9" x14ac:dyDescent="0.25">
      <c r="A49" t="str">
        <f>IFERROR(IF(A50="","","X"),"")</f>
        <v/>
      </c>
      <c r="F49" s="50" t="str">
        <f>IFERROR(IF(F50="","","X"),"")</f>
        <v/>
      </c>
      <c r="G49" s="50"/>
      <c r="H49" s="50"/>
      <c r="I49" s="50"/>
    </row>
    <row r="50" spans="1:9" x14ac:dyDescent="0.25">
      <c r="A50" s="33" t="str">
        <f>IFERROR(IF(AB2&gt;2,AA4,""),"")</f>
        <v/>
      </c>
      <c r="F50" s="51" t="str">
        <f>IFERROR(IF(AB2&gt;3,AA5,""),"")</f>
        <v/>
      </c>
      <c r="G50" s="51"/>
      <c r="H50" s="51"/>
      <c r="I50" s="51"/>
    </row>
    <row r="51" spans="1:9" x14ac:dyDescent="0.25">
      <c r="A51" s="33" t="str">
        <f>IFERROR(VLOOKUP(A50,Sheet1!$D$2:$F$52,3,TRUE),"")</f>
        <v/>
      </c>
      <c r="F51" s="51" t="str">
        <f>IFERROR(VLOOKUP(F50,Sheet1!$D$2:$F$52,3,TRUE),"")</f>
        <v/>
      </c>
      <c r="G51" s="51"/>
      <c r="H51" s="51"/>
      <c r="I51" s="51"/>
    </row>
    <row r="52" spans="1:9" x14ac:dyDescent="0.25">
      <c r="A52" t="str">
        <f>IFERROR(VLOOKUP(A50,Sheet1!$D$2:$F$52,2,TRUE),"")</f>
        <v/>
      </c>
      <c r="F52" s="50" t="str">
        <f>IFERROR(VLOOKUP(F50,Sheet1!$D$2:$F$52,2,TRUE),"")</f>
        <v/>
      </c>
      <c r="G52" s="50"/>
      <c r="H52" s="50"/>
      <c r="I52" s="50"/>
    </row>
    <row r="55" spans="1:9" x14ac:dyDescent="0.25">
      <c r="A55" t="str">
        <f>IFERROR(IF(A56="","","X"),"")</f>
        <v/>
      </c>
      <c r="F55" s="50" t="str">
        <f>IFERROR(IF(F56="","","X"),"")</f>
        <v/>
      </c>
      <c r="G55" s="50"/>
      <c r="H55" s="50"/>
      <c r="I55" s="50"/>
    </row>
    <row r="56" spans="1:9" x14ac:dyDescent="0.25">
      <c r="A56" t="str">
        <f>IFERROR(IF(AB2&gt;4,AA6,""),"")</f>
        <v/>
      </c>
      <c r="F56" s="51" t="str">
        <f>IFERROR(IF(AB2&gt;5,AA7,""),"")</f>
        <v/>
      </c>
      <c r="G56" s="51"/>
      <c r="H56" s="51"/>
      <c r="I56" s="51"/>
    </row>
    <row r="57" spans="1:9" x14ac:dyDescent="0.25">
      <c r="A57" t="str">
        <f>IFERROR(VLOOKUP(A56,Sheet1!$D$2:$F$52,3,TRUE),"")</f>
        <v/>
      </c>
      <c r="F57" s="51" t="str">
        <f>IFERROR(VLOOKUP(F56,Sheet1!$D$2:$F$52,3,TRUE),"")</f>
        <v/>
      </c>
      <c r="G57" s="51"/>
      <c r="H57" s="51"/>
      <c r="I57" s="51"/>
    </row>
    <row r="58" spans="1:9" x14ac:dyDescent="0.25">
      <c r="A58" t="str">
        <f>IFERROR(VLOOKUP(A56,Sheet1!$D$2:$F$52,2,TRUE),"")</f>
        <v/>
      </c>
      <c r="F58" s="50" t="str">
        <f>IFERROR(VLOOKUP(F56,Sheet1!$D$2:$F$52,2,TRUE),"")</f>
        <v/>
      </c>
      <c r="G58" s="50"/>
      <c r="H58" s="50"/>
      <c r="I58" s="50"/>
    </row>
  </sheetData>
  <sheetProtection algorithmName="SHA-512" hashValue="3H4CGGGUM0EyZZCP5P4+JqNZo65CcDtMwLtSA916sGUy1EiQmnsxKbfTZfKj5fJT+mwdde4kx725X4684w6+qQ==" saltValue="E4eSrvAG8Ef6nTa/yUQtsA==" spinCount="100000" sheet="1" objects="1" scenarios="1"/>
  <mergeCells count="17">
    <mergeCell ref="F52:I52"/>
    <mergeCell ref="F55:I55"/>
    <mergeCell ref="F56:I56"/>
    <mergeCell ref="F57:I57"/>
    <mergeCell ref="F58:I58"/>
    <mergeCell ref="F51:I51"/>
    <mergeCell ref="A1:E1"/>
    <mergeCell ref="F1:J1"/>
    <mergeCell ref="A3:J3"/>
    <mergeCell ref="C4:E4"/>
    <mergeCell ref="F4:G4"/>
    <mergeCell ref="F43:I43"/>
    <mergeCell ref="F44:I44"/>
    <mergeCell ref="F45:I45"/>
    <mergeCell ref="F46:I46"/>
    <mergeCell ref="F49:I49"/>
    <mergeCell ref="F50:I50"/>
  </mergeCells>
  <conditionalFormatting sqref="A43:B43">
    <cfRule type="expression" dxfId="53" priority="6" stopIfTrue="1">
      <formula>$A$44&lt;&gt;""</formula>
    </cfRule>
  </conditionalFormatting>
  <conditionalFormatting sqref="A49:B49">
    <cfRule type="expression" dxfId="52" priority="4" stopIfTrue="1">
      <formula>$A$50&lt;&gt;""</formula>
    </cfRule>
  </conditionalFormatting>
  <conditionalFormatting sqref="A55:B55">
    <cfRule type="expression" dxfId="51" priority="2" stopIfTrue="1">
      <formula>$A$56&lt;&gt;""</formula>
    </cfRule>
  </conditionalFormatting>
  <conditionalFormatting sqref="F43:J43">
    <cfRule type="expression" dxfId="50" priority="5" stopIfTrue="1">
      <formula>$F$44&lt;&gt;""</formula>
    </cfRule>
  </conditionalFormatting>
  <conditionalFormatting sqref="F49:J49">
    <cfRule type="expression" dxfId="49" priority="3" stopIfTrue="1">
      <formula>$F$50&lt;&gt;""</formula>
    </cfRule>
  </conditionalFormatting>
  <conditionalFormatting sqref="F55:J55">
    <cfRule type="expression" dxfId="48" priority="1" stopIfTrue="1">
      <formula>$F$56&lt;&gt;""</formula>
    </cfRule>
  </conditionalFormatting>
  <pageMargins left="0.5" right="0.5" top="0.5" bottom="0.5" header="0.5" footer="0.5"/>
  <pageSetup scale="75" orientation="portrait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1CC947-C1AC-42D5-9CA4-89AF1E903E37}">
          <x14:formula1>
            <xm:f>Sheet1!$D:$D</xm:f>
          </x14:formula1>
          <xm:sqref>J7:J36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7EFAE-DBDB-4F59-A05F-058EE2E63ABE}">
  <sheetPr>
    <pageSetUpPr fitToPage="1"/>
  </sheetPr>
  <dimension ref="A1:AB59"/>
  <sheetViews>
    <sheetView zoomScaleNormal="100" workbookViewId="0">
      <selection activeCell="B18" sqref="B18"/>
    </sheetView>
  </sheetViews>
  <sheetFormatPr defaultColWidth="8.81640625" defaultRowHeight="12.5" x14ac:dyDescent="0.25"/>
  <cols>
    <col min="1" max="1" width="25.81640625" customWidth="1"/>
    <col min="2" max="2" width="24" customWidth="1"/>
    <col min="3" max="3" width="7.1796875" style="2" customWidth="1"/>
    <col min="4" max="4" width="6.1796875" style="2" customWidth="1"/>
    <col min="5" max="5" width="6.54296875" style="2" customWidth="1"/>
    <col min="6" max="6" width="6.54296875" customWidth="1"/>
    <col min="7" max="8" width="6.81640625" style="2" customWidth="1"/>
    <col min="9" max="9" width="7.453125" style="2" customWidth="1"/>
    <col min="10" max="10" width="32.453125" customWidth="1"/>
    <col min="27" max="27" width="15.1796875" bestFit="1" customWidth="1"/>
  </cols>
  <sheetData>
    <row r="1" spans="1:28" ht="72.75" customHeight="1" thickBot="1" x14ac:dyDescent="0.4">
      <c r="A1" s="44"/>
      <c r="B1" s="44"/>
      <c r="C1" s="44"/>
      <c r="D1" s="44"/>
      <c r="E1" s="44"/>
      <c r="F1" s="45" t="s">
        <v>138</v>
      </c>
      <c r="G1" s="46"/>
      <c r="H1" s="46"/>
      <c r="I1" s="46"/>
      <c r="J1" s="46"/>
    </row>
    <row r="2" spans="1:28" ht="15.5" x14ac:dyDescent="0.35">
      <c r="B2" s="5"/>
      <c r="C2" s="13"/>
      <c r="D2" s="13"/>
      <c r="E2" s="13"/>
      <c r="F2" s="5"/>
      <c r="G2" s="13"/>
      <c r="H2" s="13"/>
      <c r="I2" s="13"/>
      <c r="J2" s="5"/>
      <c r="AA2" t="str" cm="1">
        <f t="array" ref="AA2">IFERROR(_xlfn.UNIQUE(_xlfn._xlws.FILTER(J7:J37,J7:J37&lt;&gt;"")),"")</f>
        <v/>
      </c>
      <c r="AB2">
        <f>COUNTA(AA:AA)</f>
        <v>1</v>
      </c>
    </row>
    <row r="3" spans="1:28" ht="15.5" x14ac:dyDescent="0.35">
      <c r="A3" s="47" t="s">
        <v>12</v>
      </c>
      <c r="B3" s="47"/>
      <c r="C3" s="47"/>
      <c r="D3" s="47"/>
      <c r="E3" s="47"/>
      <c r="F3" s="47"/>
      <c r="G3" s="47"/>
      <c r="H3" s="47"/>
      <c r="I3" s="47"/>
      <c r="J3" s="47"/>
    </row>
    <row r="4" spans="1:28" ht="20.25" customHeight="1" x14ac:dyDescent="0.3">
      <c r="A4" s="1" t="s">
        <v>0</v>
      </c>
      <c r="B4" s="4" t="str">
        <f>IF(Jan!B4="","",Jan!B4)</f>
        <v>Your Name</v>
      </c>
      <c r="C4" s="48" t="s">
        <v>17</v>
      </c>
      <c r="D4" s="48"/>
      <c r="E4" s="48"/>
      <c r="F4" s="53">
        <f>Jan!F4</f>
        <v>2024</v>
      </c>
      <c r="G4" s="54"/>
    </row>
    <row r="5" spans="1:28" ht="21" customHeight="1" x14ac:dyDescent="0.4">
      <c r="A5" s="3"/>
      <c r="B5" s="4"/>
      <c r="C5" s="14"/>
      <c r="D5" s="14"/>
      <c r="E5" s="16" t="s">
        <v>7</v>
      </c>
      <c r="F5" s="4"/>
      <c r="G5" s="14"/>
      <c r="H5" s="14"/>
      <c r="I5" s="14"/>
      <c r="J5" s="3" t="s">
        <v>26</v>
      </c>
      <c r="K5" s="1"/>
      <c r="L5" s="1"/>
    </row>
    <row r="6" spans="1:28" s="2" customFormat="1" ht="13.5" thickBot="1" x14ac:dyDescent="0.35">
      <c r="A6" s="9" t="s">
        <v>1</v>
      </c>
      <c r="B6" s="10" t="s">
        <v>2</v>
      </c>
      <c r="C6" s="10" t="s">
        <v>3</v>
      </c>
      <c r="D6" s="10" t="s">
        <v>4</v>
      </c>
      <c r="E6" s="10" t="s">
        <v>140</v>
      </c>
      <c r="F6" s="10" t="s">
        <v>5</v>
      </c>
      <c r="G6" s="10" t="s">
        <v>6</v>
      </c>
      <c r="H6" s="10" t="s">
        <v>143</v>
      </c>
      <c r="I6" s="10" t="s">
        <v>8</v>
      </c>
      <c r="J6" s="11"/>
    </row>
    <row r="7" spans="1:28" x14ac:dyDescent="0.25">
      <c r="A7" s="43" t="str" cm="1">
        <f t="array" ref="A7:A37">IFERROR(
_xlfn.LET(
_xlpm.yr,$F$4,
_xlpm.mn,IF(ISNUMBER($C$4),$C$4,MONTH(1&amp;$C$4)),
_xlpm.first,DATE(_xlpm.yr,_xlpm.mn,1),
_xlpm.daysInMonth,DAY(EOMONTH(_xlpm.first,0)),
TEXT(_xlpm.first+_xlfn.SEQUENCE(_xlpm.daysInMonth)-1,"dddd, mmmm d, yyyy")
),
"")</f>
        <v>Wednesday, May 1, 2024</v>
      </c>
      <c r="B7" s="38"/>
      <c r="C7" s="39"/>
      <c r="D7" s="39"/>
      <c r="E7" s="39"/>
      <c r="F7" s="39"/>
      <c r="G7" s="39"/>
      <c r="H7" s="39"/>
      <c r="I7" s="39"/>
      <c r="J7" s="40"/>
    </row>
    <row r="8" spans="1:28" x14ac:dyDescent="0.25">
      <c r="A8" s="43" t="str">
        <v>Thursday, May 2, 2024</v>
      </c>
      <c r="B8" s="38"/>
      <c r="C8" s="39"/>
      <c r="D8" s="39"/>
      <c r="E8" s="39"/>
      <c r="F8" s="39"/>
      <c r="G8" s="39"/>
      <c r="H8" s="39"/>
      <c r="I8" s="39"/>
      <c r="J8" s="40"/>
    </row>
    <row r="9" spans="1:28" x14ac:dyDescent="0.25">
      <c r="A9" s="43" t="str">
        <v>Friday, May 3, 2024</v>
      </c>
      <c r="B9" s="38"/>
      <c r="C9" s="39"/>
      <c r="D9" s="39"/>
      <c r="E9" s="39"/>
      <c r="F9" s="39"/>
      <c r="G9" s="39"/>
      <c r="H9" s="39"/>
      <c r="I9" s="39"/>
      <c r="J9" s="40"/>
    </row>
    <row r="10" spans="1:28" x14ac:dyDescent="0.25">
      <c r="A10" s="43" t="str">
        <v>Saturday, May 4, 2024</v>
      </c>
      <c r="B10" s="38"/>
      <c r="C10" s="39"/>
      <c r="D10" s="39"/>
      <c r="E10" s="39"/>
      <c r="F10" s="39"/>
      <c r="G10" s="39"/>
      <c r="H10" s="39"/>
      <c r="I10" s="39"/>
      <c r="J10" s="40"/>
    </row>
    <row r="11" spans="1:28" x14ac:dyDescent="0.25">
      <c r="A11" s="43" t="str">
        <v>Sunday, May 5, 2024</v>
      </c>
      <c r="B11" s="38"/>
      <c r="C11" s="39"/>
      <c r="D11" s="39"/>
      <c r="E11" s="39"/>
      <c r="F11" s="39"/>
      <c r="G11" s="39"/>
      <c r="H11" s="39"/>
      <c r="I11" s="39"/>
      <c r="J11" s="40"/>
    </row>
    <row r="12" spans="1:28" x14ac:dyDescent="0.25">
      <c r="A12" s="43" t="str">
        <v>Monday, May 6, 2024</v>
      </c>
      <c r="B12" s="38"/>
      <c r="C12" s="39"/>
      <c r="D12" s="39"/>
      <c r="E12" s="39"/>
      <c r="F12" s="39"/>
      <c r="G12" s="39"/>
      <c r="H12" s="39"/>
      <c r="I12" s="39"/>
      <c r="J12" s="40"/>
    </row>
    <row r="13" spans="1:28" x14ac:dyDescent="0.25">
      <c r="A13" s="43" t="str">
        <v>Tuesday, May 7, 2024</v>
      </c>
      <c r="B13" s="38"/>
      <c r="C13" s="39"/>
      <c r="D13" s="39"/>
      <c r="E13" s="39"/>
      <c r="F13" s="39"/>
      <c r="G13" s="39"/>
      <c r="H13" s="39"/>
      <c r="I13" s="39"/>
      <c r="J13" s="40"/>
    </row>
    <row r="14" spans="1:28" x14ac:dyDescent="0.25">
      <c r="A14" s="43" t="str">
        <v>Wednesday, May 8, 2024</v>
      </c>
      <c r="B14" s="38"/>
      <c r="C14" s="39"/>
      <c r="D14" s="39"/>
      <c r="E14" s="39"/>
      <c r="F14" s="39"/>
      <c r="G14" s="39"/>
      <c r="H14" s="39"/>
      <c r="I14" s="39"/>
      <c r="J14" s="40"/>
    </row>
    <row r="15" spans="1:28" x14ac:dyDescent="0.25">
      <c r="A15" s="43" t="str">
        <v>Thursday, May 9, 2024</v>
      </c>
      <c r="B15" s="38"/>
      <c r="C15" s="39"/>
      <c r="D15" s="39"/>
      <c r="E15" s="39"/>
      <c r="F15" s="39"/>
      <c r="G15" s="39"/>
      <c r="H15" s="39"/>
      <c r="I15" s="39"/>
      <c r="J15" s="40"/>
    </row>
    <row r="16" spans="1:28" x14ac:dyDescent="0.25">
      <c r="A16" s="43" t="str">
        <v>Friday, May 10, 2024</v>
      </c>
      <c r="B16" s="38"/>
      <c r="C16" s="39"/>
      <c r="D16" s="39"/>
      <c r="E16" s="39"/>
      <c r="F16" s="39"/>
      <c r="G16" s="39"/>
      <c r="H16" s="39"/>
      <c r="I16" s="39"/>
      <c r="J16" s="40"/>
    </row>
    <row r="17" spans="1:10" x14ac:dyDescent="0.25">
      <c r="A17" s="43" t="str">
        <v>Saturday, May 11, 2024</v>
      </c>
      <c r="B17" s="38"/>
      <c r="C17" s="39"/>
      <c r="D17" s="39"/>
      <c r="E17" s="39"/>
      <c r="F17" s="39"/>
      <c r="G17" s="39"/>
      <c r="H17" s="39"/>
      <c r="I17" s="39"/>
      <c r="J17" s="40"/>
    </row>
    <row r="18" spans="1:10" x14ac:dyDescent="0.25">
      <c r="A18" s="43" t="str">
        <v>Sunday, May 12, 2024</v>
      </c>
      <c r="B18" s="38"/>
      <c r="C18" s="39"/>
      <c r="D18" s="39"/>
      <c r="E18" s="39"/>
      <c r="F18" s="39"/>
      <c r="G18" s="39"/>
      <c r="H18" s="39"/>
      <c r="I18" s="39"/>
      <c r="J18" s="40"/>
    </row>
    <row r="19" spans="1:10" x14ac:dyDescent="0.25">
      <c r="A19" s="43" t="str">
        <v>Monday, May 13, 2024</v>
      </c>
      <c r="B19" s="38"/>
      <c r="C19" s="39"/>
      <c r="D19" s="39"/>
      <c r="E19" s="39"/>
      <c r="F19" s="39"/>
      <c r="G19" s="39"/>
      <c r="H19" s="39"/>
      <c r="I19" s="39"/>
      <c r="J19" s="40"/>
    </row>
    <row r="20" spans="1:10" x14ac:dyDescent="0.25">
      <c r="A20" s="43" t="str">
        <v>Tuesday, May 14, 2024</v>
      </c>
      <c r="B20" s="38"/>
      <c r="C20" s="39"/>
      <c r="D20" s="39"/>
      <c r="E20" s="39"/>
      <c r="F20" s="39"/>
      <c r="G20" s="39"/>
      <c r="H20" s="39"/>
      <c r="I20" s="39"/>
      <c r="J20" s="40"/>
    </row>
    <row r="21" spans="1:10" x14ac:dyDescent="0.25">
      <c r="A21" s="43" t="str">
        <v>Wednesday, May 15, 2024</v>
      </c>
      <c r="B21" s="38"/>
      <c r="C21" s="39"/>
      <c r="D21" s="39"/>
      <c r="E21" s="39"/>
      <c r="F21" s="39"/>
      <c r="G21" s="39"/>
      <c r="H21" s="39"/>
      <c r="I21" s="39"/>
      <c r="J21" s="40"/>
    </row>
    <row r="22" spans="1:10" x14ac:dyDescent="0.25">
      <c r="A22" s="43" t="str">
        <v>Thursday, May 16, 2024</v>
      </c>
      <c r="B22" s="38"/>
      <c r="C22" s="39"/>
      <c r="D22" s="39"/>
      <c r="E22" s="39"/>
      <c r="F22" s="39"/>
      <c r="G22" s="39"/>
      <c r="H22" s="39"/>
      <c r="I22" s="39"/>
      <c r="J22" s="40"/>
    </row>
    <row r="23" spans="1:10" x14ac:dyDescent="0.25">
      <c r="A23" s="43" t="str">
        <v>Friday, May 17, 2024</v>
      </c>
      <c r="B23" s="38"/>
      <c r="C23" s="39"/>
      <c r="D23" s="39"/>
      <c r="E23" s="39"/>
      <c r="F23" s="39"/>
      <c r="G23" s="39"/>
      <c r="H23" s="39"/>
      <c r="I23" s="39"/>
      <c r="J23" s="40"/>
    </row>
    <row r="24" spans="1:10" x14ac:dyDescent="0.25">
      <c r="A24" s="43" t="str">
        <v>Saturday, May 18, 2024</v>
      </c>
      <c r="B24" s="38"/>
      <c r="C24" s="39"/>
      <c r="D24" s="39"/>
      <c r="E24" s="39"/>
      <c r="F24" s="39"/>
      <c r="G24" s="39"/>
      <c r="H24" s="39"/>
      <c r="I24" s="39"/>
      <c r="J24" s="40"/>
    </row>
    <row r="25" spans="1:10" x14ac:dyDescent="0.25">
      <c r="A25" s="43" t="str">
        <v>Sunday, May 19, 2024</v>
      </c>
      <c r="B25" s="38"/>
      <c r="C25" s="39"/>
      <c r="D25" s="39"/>
      <c r="E25" s="39"/>
      <c r="F25" s="39"/>
      <c r="G25" s="39"/>
      <c r="H25" s="39"/>
      <c r="I25" s="39"/>
      <c r="J25" s="40"/>
    </row>
    <row r="26" spans="1:10" x14ac:dyDescent="0.25">
      <c r="A26" s="43" t="str">
        <v>Monday, May 20, 2024</v>
      </c>
      <c r="B26" s="38"/>
      <c r="C26" s="39"/>
      <c r="D26" s="39"/>
      <c r="E26" s="39"/>
      <c r="F26" s="39"/>
      <c r="G26" s="39"/>
      <c r="H26" s="39"/>
      <c r="I26" s="39"/>
      <c r="J26" s="40"/>
    </row>
    <row r="27" spans="1:10" x14ac:dyDescent="0.25">
      <c r="A27" s="43" t="str">
        <v>Tuesday, May 21, 2024</v>
      </c>
      <c r="B27" s="38"/>
      <c r="C27" s="39"/>
      <c r="D27" s="39"/>
      <c r="E27" s="39"/>
      <c r="F27" s="39"/>
      <c r="G27" s="39"/>
      <c r="H27" s="39"/>
      <c r="I27" s="39"/>
      <c r="J27" s="40"/>
    </row>
    <row r="28" spans="1:10" x14ac:dyDescent="0.25">
      <c r="A28" s="43" t="str">
        <v>Wednesday, May 22, 2024</v>
      </c>
      <c r="B28" s="38"/>
      <c r="C28" s="39"/>
      <c r="D28" s="39"/>
      <c r="E28" s="39"/>
      <c r="F28" s="39"/>
      <c r="G28" s="39"/>
      <c r="H28" s="39"/>
      <c r="I28" s="39"/>
      <c r="J28" s="40"/>
    </row>
    <row r="29" spans="1:10" x14ac:dyDescent="0.25">
      <c r="A29" s="43" t="str">
        <v>Thursday, May 23, 2024</v>
      </c>
      <c r="B29" s="38"/>
      <c r="C29" s="39"/>
      <c r="D29" s="39"/>
      <c r="E29" s="39"/>
      <c r="F29" s="39"/>
      <c r="G29" s="39"/>
      <c r="H29" s="39"/>
      <c r="I29" s="39"/>
      <c r="J29" s="40"/>
    </row>
    <row r="30" spans="1:10" x14ac:dyDescent="0.25">
      <c r="A30" s="43" t="str">
        <v>Friday, May 24, 2024</v>
      </c>
      <c r="B30" s="38"/>
      <c r="C30" s="39"/>
      <c r="D30" s="39"/>
      <c r="E30" s="39"/>
      <c r="F30" s="39"/>
      <c r="G30" s="39"/>
      <c r="H30" s="39"/>
      <c r="I30" s="39"/>
      <c r="J30" s="40"/>
    </row>
    <row r="31" spans="1:10" x14ac:dyDescent="0.25">
      <c r="A31" s="43" t="str">
        <v>Saturday, May 25, 2024</v>
      </c>
      <c r="B31" s="38"/>
      <c r="C31" s="39"/>
      <c r="D31" s="39"/>
      <c r="E31" s="39"/>
      <c r="F31" s="39"/>
      <c r="G31" s="39"/>
      <c r="H31" s="39"/>
      <c r="I31" s="39"/>
      <c r="J31" s="40"/>
    </row>
    <row r="32" spans="1:10" x14ac:dyDescent="0.25">
      <c r="A32" s="43" t="str">
        <v>Sunday, May 26, 2024</v>
      </c>
      <c r="B32" s="38"/>
      <c r="C32" s="39"/>
      <c r="D32" s="39"/>
      <c r="E32" s="39"/>
      <c r="F32" s="39"/>
      <c r="G32" s="39"/>
      <c r="H32" s="39"/>
      <c r="I32" s="39"/>
      <c r="J32" s="40"/>
    </row>
    <row r="33" spans="1:10" x14ac:dyDescent="0.25">
      <c r="A33" s="43" t="str">
        <v>Monday, May 27, 2024</v>
      </c>
      <c r="B33" s="38"/>
      <c r="C33" s="39"/>
      <c r="D33" s="39"/>
      <c r="E33" s="39"/>
      <c r="F33" s="39"/>
      <c r="G33" s="39"/>
      <c r="H33" s="39"/>
      <c r="I33" s="39"/>
      <c r="J33" s="40"/>
    </row>
    <row r="34" spans="1:10" x14ac:dyDescent="0.25">
      <c r="A34" s="43" t="str">
        <v>Tuesday, May 28, 2024</v>
      </c>
      <c r="B34" s="38"/>
      <c r="C34" s="39"/>
      <c r="D34" s="39"/>
      <c r="E34" s="39"/>
      <c r="F34" s="39"/>
      <c r="G34" s="39"/>
      <c r="H34" s="39"/>
      <c r="I34" s="39"/>
      <c r="J34" s="40"/>
    </row>
    <row r="35" spans="1:10" x14ac:dyDescent="0.25">
      <c r="A35" s="43" t="str">
        <v>Wednesday, May 29, 2024</v>
      </c>
      <c r="B35" s="38"/>
      <c r="C35" s="39"/>
      <c r="D35" s="39"/>
      <c r="E35" s="39"/>
      <c r="F35" s="39"/>
      <c r="G35" s="39"/>
      <c r="H35" s="39"/>
      <c r="I35" s="39"/>
      <c r="J35" s="40"/>
    </row>
    <row r="36" spans="1:10" x14ac:dyDescent="0.25">
      <c r="A36" s="43" t="str">
        <v>Thursday, May 30, 2024</v>
      </c>
      <c r="B36" s="38"/>
      <c r="C36" s="39"/>
      <c r="D36" s="39"/>
      <c r="E36" s="39"/>
      <c r="F36" s="39"/>
      <c r="G36" s="39"/>
      <c r="H36" s="39"/>
      <c r="I36" s="39"/>
      <c r="J36" s="40"/>
    </row>
    <row r="37" spans="1:10" x14ac:dyDescent="0.25">
      <c r="A37" s="43" t="str">
        <v>Friday, May 31, 2024</v>
      </c>
      <c r="B37" s="38"/>
      <c r="C37" s="39"/>
      <c r="D37" s="39"/>
      <c r="E37" s="39"/>
      <c r="F37" s="39"/>
      <c r="G37" s="39"/>
      <c r="H37" s="39"/>
      <c r="I37" s="39"/>
      <c r="J37" s="40"/>
    </row>
    <row r="38" spans="1:10" x14ac:dyDescent="0.25">
      <c r="A38" s="25"/>
      <c r="B38" s="27"/>
      <c r="C38" s="26"/>
      <c r="D38" s="26"/>
      <c r="E38" s="26"/>
      <c r="F38" s="26"/>
      <c r="G38" s="26"/>
      <c r="H38" s="26"/>
      <c r="I38" s="26"/>
      <c r="J38" s="26"/>
    </row>
    <row r="39" spans="1:10" ht="13" x14ac:dyDescent="0.3">
      <c r="A39" s="19"/>
      <c r="B39" s="28"/>
      <c r="C39" s="14"/>
      <c r="D39" s="14"/>
      <c r="E39" s="14"/>
      <c r="F39" s="29"/>
      <c r="G39" s="14"/>
      <c r="H39" s="14"/>
      <c r="I39" s="14"/>
      <c r="J39" s="2"/>
    </row>
    <row r="40" spans="1:10" ht="13" x14ac:dyDescent="0.3">
      <c r="A40" s="30"/>
      <c r="B40" s="8" t="str">
        <f>C4&amp;" "&amp;F4&amp;" HOURS"</f>
        <v>May 2024 HOURS</v>
      </c>
      <c r="C40" s="15">
        <f t="shared" ref="C40:I40" si="0">SUM(C7:C39)</f>
        <v>0</v>
      </c>
      <c r="D40" s="7">
        <f t="shared" si="0"/>
        <v>0</v>
      </c>
      <c r="E40" s="15">
        <f t="shared" si="0"/>
        <v>0</v>
      </c>
      <c r="F40" s="7">
        <f t="shared" si="0"/>
        <v>0</v>
      </c>
      <c r="G40" s="15">
        <f t="shared" si="0"/>
        <v>0</v>
      </c>
      <c r="H40" s="7">
        <f t="shared" si="0"/>
        <v>0</v>
      </c>
      <c r="I40" s="7">
        <f t="shared" si="0"/>
        <v>0</v>
      </c>
      <c r="J40" s="24"/>
    </row>
    <row r="44" spans="1:10" x14ac:dyDescent="0.25">
      <c r="A44" t="str">
        <f>IFERROR(IF(A45="","","X"),"")</f>
        <v/>
      </c>
      <c r="F44" s="52" t="str">
        <f>IFERROR(IF(F45="","","X"),"")</f>
        <v/>
      </c>
      <c r="G44" s="52" t="str">
        <f>IFERROR(IF(G45="","","X"),"")</f>
        <v/>
      </c>
      <c r="H44" s="52" t="str">
        <f>IFERROR(IF(H45="","","X"),"")</f>
        <v/>
      </c>
      <c r="I44" s="52" t="str">
        <f>IFERROR(IF(I45="","","X"),"")</f>
        <v/>
      </c>
    </row>
    <row r="45" spans="1:10" x14ac:dyDescent="0.25">
      <c r="A45" s="33" t="str">
        <f>IFERROR(IF(AB2&gt;0,AA2,""),"")</f>
        <v/>
      </c>
      <c r="F45" s="51" t="str">
        <f>IFERROR(IF(AB$2&gt;1,AA3,""),"")</f>
        <v/>
      </c>
      <c r="G45" s="51"/>
      <c r="H45" s="51"/>
      <c r="I45" s="51"/>
    </row>
    <row r="46" spans="1:10" x14ac:dyDescent="0.25">
      <c r="A46" s="33" t="str">
        <f>IFERROR(VLOOKUP(A45,Sheet1!$D$2:$F$52,3,TRUE),"")</f>
        <v/>
      </c>
      <c r="F46" s="51" t="str">
        <f>IFERROR(VLOOKUP(F45,Sheet1!$D$2:$F$52,3,TRUE),"")</f>
        <v/>
      </c>
      <c r="G46" s="51" t="str">
        <f>IFERROR(VLOOKUP(G45,Sheet1!$D$2:$F$52,3,TRUE),"")</f>
        <v/>
      </c>
      <c r="H46" s="51" t="str">
        <f>IFERROR(VLOOKUP(H45,Sheet1!$D$2:$F$52,3,TRUE),"")</f>
        <v/>
      </c>
      <c r="I46" s="51" t="str">
        <f>IFERROR(VLOOKUP(I45,Sheet1!$D$2:$F$52,3,TRUE),"")</f>
        <v/>
      </c>
    </row>
    <row r="47" spans="1:10" x14ac:dyDescent="0.25">
      <c r="A47" t="str">
        <f>IFERROR(VLOOKUP(A45,Sheet1!$D$2:$F$52,2,TRUE),"")</f>
        <v/>
      </c>
      <c r="F47" s="50" t="str">
        <f>IFERROR(VLOOKUP(F45,Sheet1!$D$2:$F$52,2,TRUE),"")</f>
        <v/>
      </c>
      <c r="G47" s="50" t="str">
        <f>IFERROR(VLOOKUP(G45,Sheet1!$D$2:$F$52,2,TRUE),"")</f>
        <v/>
      </c>
      <c r="H47" s="50" t="str">
        <f>IFERROR(VLOOKUP(H45,Sheet1!$D$2:$F$52,2,TRUE),"")</f>
        <v/>
      </c>
      <c r="I47" s="50" t="str">
        <f>IFERROR(VLOOKUP(I45,Sheet1!$D$2:$F$52,2,TRUE),"")</f>
        <v/>
      </c>
    </row>
    <row r="50" spans="1:9" x14ac:dyDescent="0.25">
      <c r="A50" t="str">
        <f>IFERROR(IF(A51="","","X"),"")</f>
        <v/>
      </c>
      <c r="F50" s="50" t="str">
        <f>IFERROR(IF(F51="","","X"),"")</f>
        <v/>
      </c>
      <c r="G50" s="50"/>
      <c r="H50" s="50"/>
      <c r="I50" s="50"/>
    </row>
    <row r="51" spans="1:9" x14ac:dyDescent="0.25">
      <c r="A51" s="33" t="str">
        <f>IFERROR(IF(AB2&gt;2,AA4,""),"")</f>
        <v/>
      </c>
      <c r="F51" s="51" t="str">
        <f>IFERROR(IF(AB2&gt;3,AA5,""),"")</f>
        <v/>
      </c>
      <c r="G51" s="51"/>
      <c r="H51" s="51"/>
      <c r="I51" s="51"/>
    </row>
    <row r="52" spans="1:9" x14ac:dyDescent="0.25">
      <c r="A52" s="33" t="str">
        <f>IFERROR(VLOOKUP(A51,Sheet1!$D$2:$F$52,3,TRUE),"")</f>
        <v/>
      </c>
      <c r="F52" s="51" t="str">
        <f>IFERROR(VLOOKUP(F51,Sheet1!$D$2:$F$52,3,TRUE),"")</f>
        <v/>
      </c>
      <c r="G52" s="51"/>
      <c r="H52" s="51"/>
      <c r="I52" s="51"/>
    </row>
    <row r="53" spans="1:9" x14ac:dyDescent="0.25">
      <c r="A53" t="str">
        <f>IFERROR(VLOOKUP(A51,Sheet1!$D$2:$F$52,2,TRUE),"")</f>
        <v/>
      </c>
      <c r="F53" s="50" t="str">
        <f>IFERROR(VLOOKUP(F51,Sheet1!$D$2:$F$52,2,TRUE),"")</f>
        <v/>
      </c>
      <c r="G53" s="50"/>
      <c r="H53" s="50"/>
      <c r="I53" s="50"/>
    </row>
    <row r="56" spans="1:9" x14ac:dyDescent="0.25">
      <c r="A56" t="str">
        <f>IFERROR(IF(A57="","","X"),"")</f>
        <v/>
      </c>
      <c r="F56" s="50" t="str">
        <f>IFERROR(IF(F57="","","X"),"")</f>
        <v/>
      </c>
      <c r="G56" s="50"/>
      <c r="H56" s="50"/>
      <c r="I56" s="50"/>
    </row>
    <row r="57" spans="1:9" x14ac:dyDescent="0.25">
      <c r="A57" t="str">
        <f>IFERROR(IF(AB2&gt;4,AA6,""),"")</f>
        <v/>
      </c>
      <c r="F57" s="51" t="str">
        <f>IFERROR(IF(AB2&gt;5,AA7,""),"")</f>
        <v/>
      </c>
      <c r="G57" s="51"/>
      <c r="H57" s="51"/>
      <c r="I57" s="51"/>
    </row>
    <row r="58" spans="1:9" x14ac:dyDescent="0.25">
      <c r="A58" t="str">
        <f>IFERROR(VLOOKUP(A57,Sheet1!$D$2:$F$52,3,TRUE),"")</f>
        <v/>
      </c>
      <c r="F58" s="51" t="str">
        <f>IFERROR(VLOOKUP(F57,Sheet1!$D$2:$F$52,3,TRUE),"")</f>
        <v/>
      </c>
      <c r="G58" s="51"/>
      <c r="H58" s="51"/>
      <c r="I58" s="51"/>
    </row>
    <row r="59" spans="1:9" x14ac:dyDescent="0.25">
      <c r="A59" t="str">
        <f>IFERROR(VLOOKUP(A57,Sheet1!$D$2:$F$52,2,TRUE),"")</f>
        <v/>
      </c>
      <c r="F59" s="50" t="str">
        <f>IFERROR(VLOOKUP(F57,Sheet1!$D$2:$F$52,2,TRUE),"")</f>
        <v/>
      </c>
      <c r="G59" s="50"/>
      <c r="H59" s="50"/>
      <c r="I59" s="50"/>
    </row>
  </sheetData>
  <sheetProtection algorithmName="SHA-512" hashValue="O76AtqUdINrNNyX9YDv1tMdGkSCe+zk2NlfppDnPHnEdJa3kxZKkm2sl427iostZXpi4ibvN6/Ld8fv9A0Q/oA==" saltValue="WRAYCt/FS5+CcpvuBurEkw==" spinCount="100000" sheet="1" objects="1" scenarios="1"/>
  <mergeCells count="17">
    <mergeCell ref="F53:I53"/>
    <mergeCell ref="F56:I56"/>
    <mergeCell ref="F57:I57"/>
    <mergeCell ref="F58:I58"/>
    <mergeCell ref="F59:I59"/>
    <mergeCell ref="F52:I52"/>
    <mergeCell ref="A1:E1"/>
    <mergeCell ref="F1:J1"/>
    <mergeCell ref="A3:J3"/>
    <mergeCell ref="C4:E4"/>
    <mergeCell ref="F4:G4"/>
    <mergeCell ref="F44:I44"/>
    <mergeCell ref="F45:I45"/>
    <mergeCell ref="F46:I46"/>
    <mergeCell ref="F47:I47"/>
    <mergeCell ref="F50:I50"/>
    <mergeCell ref="F51:I51"/>
  </mergeCells>
  <conditionalFormatting sqref="A44:B44">
    <cfRule type="expression" dxfId="47" priority="6" stopIfTrue="1">
      <formula>$A$45&lt;&gt;""</formula>
    </cfRule>
  </conditionalFormatting>
  <conditionalFormatting sqref="A50:B50">
    <cfRule type="expression" dxfId="46" priority="4" stopIfTrue="1">
      <formula>$A$51&lt;&gt;""</formula>
    </cfRule>
  </conditionalFormatting>
  <conditionalFormatting sqref="A56:B56">
    <cfRule type="expression" dxfId="45" priority="2" stopIfTrue="1">
      <formula>$A$57&lt;&gt;""</formula>
    </cfRule>
  </conditionalFormatting>
  <conditionalFormatting sqref="F44:J44">
    <cfRule type="expression" dxfId="44" priority="5" stopIfTrue="1">
      <formula>$F$45&lt;&gt;""</formula>
    </cfRule>
  </conditionalFormatting>
  <conditionalFormatting sqref="F50:J50">
    <cfRule type="expression" dxfId="43" priority="3" stopIfTrue="1">
      <formula>$F$51&lt;&gt;""</formula>
    </cfRule>
  </conditionalFormatting>
  <conditionalFormatting sqref="F56:J56">
    <cfRule type="expression" dxfId="42" priority="1" stopIfTrue="1">
      <formula>$F$57&lt;&gt;""</formula>
    </cfRule>
  </conditionalFormatting>
  <pageMargins left="0.5" right="0.5" top="0.5" bottom="0.5" header="0.5" footer="0.5"/>
  <pageSetup scale="75" orientation="portrait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4583AF9-EED6-4CBB-AAA6-EE5744647330}">
          <x14:formula1>
            <xm:f>Sheet1!$D:$D</xm:f>
          </x14:formula1>
          <xm:sqref>J7:J37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20244-174B-4797-836B-6465E8AF5D47}">
  <sheetPr>
    <pageSetUpPr fitToPage="1"/>
  </sheetPr>
  <dimension ref="A1:AB58"/>
  <sheetViews>
    <sheetView topLeftCell="A2" zoomScaleNormal="100" workbookViewId="0">
      <selection activeCell="H6" sqref="H6"/>
    </sheetView>
  </sheetViews>
  <sheetFormatPr defaultColWidth="8.81640625" defaultRowHeight="12.5" x14ac:dyDescent="0.25"/>
  <cols>
    <col min="1" max="1" width="25.81640625" customWidth="1"/>
    <col min="2" max="2" width="24" customWidth="1"/>
    <col min="3" max="3" width="7.1796875" style="2" customWidth="1"/>
    <col min="4" max="4" width="6.1796875" style="2" customWidth="1"/>
    <col min="5" max="5" width="6.54296875" style="2" customWidth="1"/>
    <col min="6" max="6" width="6.54296875" customWidth="1"/>
    <col min="7" max="8" width="6.81640625" style="2" customWidth="1"/>
    <col min="9" max="9" width="7.453125" style="2" customWidth="1"/>
    <col min="10" max="10" width="32.453125" customWidth="1"/>
    <col min="27" max="27" width="15.1796875" bestFit="1" customWidth="1"/>
  </cols>
  <sheetData>
    <row r="1" spans="1:28" ht="72.75" customHeight="1" thickBot="1" x14ac:dyDescent="0.4">
      <c r="A1" s="44"/>
      <c r="B1" s="44"/>
      <c r="C1" s="44"/>
      <c r="D1" s="44"/>
      <c r="E1" s="44"/>
      <c r="F1" s="45" t="s">
        <v>138</v>
      </c>
      <c r="G1" s="46"/>
      <c r="H1" s="46"/>
      <c r="I1" s="46"/>
      <c r="J1" s="46"/>
    </row>
    <row r="2" spans="1:28" ht="15.5" x14ac:dyDescent="0.35">
      <c r="B2" s="5"/>
      <c r="C2" s="13"/>
      <c r="D2" s="13"/>
      <c r="E2" s="13"/>
      <c r="F2" s="5"/>
      <c r="G2" s="13"/>
      <c r="H2" s="13"/>
      <c r="I2" s="13"/>
      <c r="J2" s="5"/>
      <c r="AA2" t="str" cm="1">
        <f t="array" ref="AA2">IFERROR(_xlfn.UNIQUE(_xlfn._xlws.FILTER(J7:J36,J7:J36&lt;&gt;"")),"")</f>
        <v/>
      </c>
      <c r="AB2">
        <f>COUNTA(AA:AA)</f>
        <v>1</v>
      </c>
    </row>
    <row r="3" spans="1:28" ht="15.5" x14ac:dyDescent="0.35">
      <c r="A3" s="47" t="s">
        <v>12</v>
      </c>
      <c r="B3" s="47"/>
      <c r="C3" s="47"/>
      <c r="D3" s="47"/>
      <c r="E3" s="47"/>
      <c r="F3" s="47"/>
      <c r="G3" s="47"/>
      <c r="H3" s="47"/>
      <c r="I3" s="47"/>
      <c r="J3" s="47"/>
    </row>
    <row r="4" spans="1:28" ht="20.25" customHeight="1" x14ac:dyDescent="0.3">
      <c r="A4" s="1" t="s">
        <v>0</v>
      </c>
      <c r="B4" s="4" t="str">
        <f>IF(Jan!B4="","",Jan!B4)</f>
        <v>Your Name</v>
      </c>
      <c r="C4" s="48" t="s">
        <v>18</v>
      </c>
      <c r="D4" s="48"/>
      <c r="E4" s="48"/>
      <c r="F4" s="53">
        <f>Jan!F4</f>
        <v>2024</v>
      </c>
      <c r="G4" s="54"/>
    </row>
    <row r="5" spans="1:28" ht="21" customHeight="1" x14ac:dyDescent="0.4">
      <c r="A5" s="3"/>
      <c r="B5" s="4"/>
      <c r="C5" s="14"/>
      <c r="D5" s="14"/>
      <c r="E5" s="16" t="s">
        <v>7</v>
      </c>
      <c r="F5" s="4"/>
      <c r="G5" s="14"/>
      <c r="H5" s="14"/>
      <c r="I5" s="14"/>
      <c r="J5" s="3" t="s">
        <v>26</v>
      </c>
      <c r="K5" s="1"/>
      <c r="L5" s="1"/>
    </row>
    <row r="6" spans="1:28" s="2" customFormat="1" ht="13.5" thickBot="1" x14ac:dyDescent="0.35">
      <c r="A6" s="9" t="s">
        <v>1</v>
      </c>
      <c r="B6" s="10" t="s">
        <v>2</v>
      </c>
      <c r="C6" s="10" t="s">
        <v>3</v>
      </c>
      <c r="D6" s="10" t="s">
        <v>4</v>
      </c>
      <c r="E6" s="10" t="s">
        <v>140</v>
      </c>
      <c r="F6" s="10" t="s">
        <v>5</v>
      </c>
      <c r="G6" s="10" t="s">
        <v>6</v>
      </c>
      <c r="H6" s="10" t="s">
        <v>143</v>
      </c>
      <c r="I6" s="10" t="s">
        <v>8</v>
      </c>
      <c r="J6" s="11"/>
    </row>
    <row r="7" spans="1:28" x14ac:dyDescent="0.25">
      <c r="A7" s="43" t="str" cm="1">
        <f t="array" ref="A7:A36">IFERROR(
_xlfn.LET(
_xlpm.yr,$F$4,
_xlpm.mn,IF(ISNUMBER($C$4),$C$4,MONTH(1&amp;$C$4)),
_xlpm.first,DATE(_xlpm.yr,_xlpm.mn,1),
_xlpm.daysInMonth,DAY(EOMONTH(_xlpm.first,0)),
TEXT(_xlpm.first+_xlfn.SEQUENCE(_xlpm.daysInMonth)-1,"dddd, mmmm d, yyyy")
),
"")</f>
        <v>Saturday, June 1, 2024</v>
      </c>
      <c r="B7" s="38"/>
      <c r="C7" s="39"/>
      <c r="D7" s="39"/>
      <c r="E7" s="39"/>
      <c r="F7" s="39"/>
      <c r="G7" s="39"/>
      <c r="H7" s="39"/>
      <c r="I7" s="39"/>
      <c r="J7" s="40"/>
    </row>
    <row r="8" spans="1:28" x14ac:dyDescent="0.25">
      <c r="A8" s="43" t="str">
        <v>Sunday, June 2, 2024</v>
      </c>
      <c r="B8" s="38"/>
      <c r="C8" s="39"/>
      <c r="D8" s="39"/>
      <c r="E8" s="39"/>
      <c r="F8" s="39"/>
      <c r="G8" s="39"/>
      <c r="H8" s="39"/>
      <c r="I8" s="39"/>
      <c r="J8" s="40"/>
    </row>
    <row r="9" spans="1:28" x14ac:dyDescent="0.25">
      <c r="A9" s="43" t="str">
        <v>Monday, June 3, 2024</v>
      </c>
      <c r="B9" s="38"/>
      <c r="C9" s="39"/>
      <c r="D9" s="39"/>
      <c r="E9" s="39"/>
      <c r="F9" s="39"/>
      <c r="G9" s="39"/>
      <c r="H9" s="39"/>
      <c r="I9" s="39"/>
      <c r="J9" s="40"/>
    </row>
    <row r="10" spans="1:28" x14ac:dyDescent="0.25">
      <c r="A10" s="43" t="str">
        <v>Tuesday, June 4, 2024</v>
      </c>
      <c r="B10" s="38"/>
      <c r="C10" s="39"/>
      <c r="D10" s="39"/>
      <c r="E10" s="39"/>
      <c r="F10" s="39"/>
      <c r="G10" s="39"/>
      <c r="H10" s="39"/>
      <c r="I10" s="39"/>
      <c r="J10" s="40"/>
    </row>
    <row r="11" spans="1:28" x14ac:dyDescent="0.25">
      <c r="A11" s="43" t="str">
        <v>Wednesday, June 5, 2024</v>
      </c>
      <c r="B11" s="38"/>
      <c r="C11" s="39"/>
      <c r="D11" s="39"/>
      <c r="E11" s="39"/>
      <c r="F11" s="39"/>
      <c r="G11" s="39"/>
      <c r="H11" s="39"/>
      <c r="I11" s="39"/>
      <c r="J11" s="40"/>
    </row>
    <row r="12" spans="1:28" x14ac:dyDescent="0.25">
      <c r="A12" s="43" t="str">
        <v>Thursday, June 6, 2024</v>
      </c>
      <c r="B12" s="38"/>
      <c r="C12" s="39"/>
      <c r="D12" s="39"/>
      <c r="E12" s="39"/>
      <c r="F12" s="39"/>
      <c r="G12" s="39"/>
      <c r="H12" s="39"/>
      <c r="I12" s="39"/>
      <c r="J12" s="40"/>
    </row>
    <row r="13" spans="1:28" x14ac:dyDescent="0.25">
      <c r="A13" s="43" t="str">
        <v>Friday, June 7, 2024</v>
      </c>
      <c r="B13" s="38"/>
      <c r="C13" s="39"/>
      <c r="D13" s="39"/>
      <c r="E13" s="39"/>
      <c r="F13" s="39"/>
      <c r="G13" s="39"/>
      <c r="H13" s="39"/>
      <c r="I13" s="39"/>
      <c r="J13" s="40"/>
    </row>
    <row r="14" spans="1:28" x14ac:dyDescent="0.25">
      <c r="A14" s="43" t="str">
        <v>Saturday, June 8, 2024</v>
      </c>
      <c r="B14" s="38"/>
      <c r="C14" s="39"/>
      <c r="D14" s="39"/>
      <c r="E14" s="39"/>
      <c r="F14" s="39"/>
      <c r="G14" s="39"/>
      <c r="H14" s="39"/>
      <c r="I14" s="39"/>
      <c r="J14" s="40"/>
    </row>
    <row r="15" spans="1:28" x14ac:dyDescent="0.25">
      <c r="A15" s="43" t="str">
        <v>Sunday, June 9, 2024</v>
      </c>
      <c r="B15" s="38"/>
      <c r="C15" s="39"/>
      <c r="D15" s="39"/>
      <c r="E15" s="39"/>
      <c r="F15" s="39"/>
      <c r="G15" s="39"/>
      <c r="H15" s="39"/>
      <c r="I15" s="39"/>
      <c r="J15" s="40"/>
    </row>
    <row r="16" spans="1:28" x14ac:dyDescent="0.25">
      <c r="A16" s="43" t="str">
        <v>Monday, June 10, 2024</v>
      </c>
      <c r="B16" s="38"/>
      <c r="C16" s="39"/>
      <c r="D16" s="39"/>
      <c r="E16" s="39"/>
      <c r="F16" s="39"/>
      <c r="G16" s="39"/>
      <c r="H16" s="39"/>
      <c r="I16" s="39"/>
      <c r="J16" s="40"/>
    </row>
    <row r="17" spans="1:10" x14ac:dyDescent="0.25">
      <c r="A17" s="43" t="str">
        <v>Tuesday, June 11, 2024</v>
      </c>
      <c r="B17" s="38"/>
      <c r="C17" s="39"/>
      <c r="D17" s="39"/>
      <c r="E17" s="39"/>
      <c r="F17" s="39"/>
      <c r="G17" s="39"/>
      <c r="H17" s="39"/>
      <c r="I17" s="39"/>
      <c r="J17" s="40"/>
    </row>
    <row r="18" spans="1:10" x14ac:dyDescent="0.25">
      <c r="A18" s="43" t="str">
        <v>Wednesday, June 12, 2024</v>
      </c>
      <c r="B18" s="38"/>
      <c r="C18" s="39"/>
      <c r="D18" s="39"/>
      <c r="E18" s="39"/>
      <c r="F18" s="39"/>
      <c r="G18" s="39"/>
      <c r="H18" s="39"/>
      <c r="I18" s="39"/>
      <c r="J18" s="40"/>
    </row>
    <row r="19" spans="1:10" x14ac:dyDescent="0.25">
      <c r="A19" s="43" t="str">
        <v>Thursday, June 13, 2024</v>
      </c>
      <c r="B19" s="38"/>
      <c r="C19" s="39"/>
      <c r="D19" s="39"/>
      <c r="E19" s="39"/>
      <c r="F19" s="39"/>
      <c r="G19" s="39"/>
      <c r="H19" s="39"/>
      <c r="I19" s="39"/>
      <c r="J19" s="40"/>
    </row>
    <row r="20" spans="1:10" x14ac:dyDescent="0.25">
      <c r="A20" s="43" t="str">
        <v>Friday, June 14, 2024</v>
      </c>
      <c r="B20" s="38"/>
      <c r="C20" s="39"/>
      <c r="D20" s="39"/>
      <c r="E20" s="39"/>
      <c r="F20" s="39"/>
      <c r="G20" s="39"/>
      <c r="H20" s="39"/>
      <c r="I20" s="39"/>
      <c r="J20" s="40"/>
    </row>
    <row r="21" spans="1:10" x14ac:dyDescent="0.25">
      <c r="A21" s="43" t="str">
        <v>Saturday, June 15, 2024</v>
      </c>
      <c r="B21" s="38"/>
      <c r="C21" s="39"/>
      <c r="D21" s="39"/>
      <c r="E21" s="39"/>
      <c r="F21" s="39"/>
      <c r="G21" s="39"/>
      <c r="H21" s="39"/>
      <c r="I21" s="39"/>
      <c r="J21" s="40"/>
    </row>
    <row r="22" spans="1:10" x14ac:dyDescent="0.25">
      <c r="A22" s="43" t="str">
        <v>Sunday, June 16, 2024</v>
      </c>
      <c r="B22" s="38"/>
      <c r="C22" s="39"/>
      <c r="D22" s="39"/>
      <c r="E22" s="39"/>
      <c r="F22" s="39"/>
      <c r="G22" s="39"/>
      <c r="H22" s="39"/>
      <c r="I22" s="39"/>
      <c r="J22" s="40"/>
    </row>
    <row r="23" spans="1:10" x14ac:dyDescent="0.25">
      <c r="A23" s="43" t="str">
        <v>Monday, June 17, 2024</v>
      </c>
      <c r="B23" s="38"/>
      <c r="C23" s="39"/>
      <c r="D23" s="39"/>
      <c r="E23" s="39"/>
      <c r="F23" s="39"/>
      <c r="G23" s="39"/>
      <c r="H23" s="39"/>
      <c r="I23" s="39"/>
      <c r="J23" s="40"/>
    </row>
    <row r="24" spans="1:10" x14ac:dyDescent="0.25">
      <c r="A24" s="43" t="str">
        <v>Tuesday, June 18, 2024</v>
      </c>
      <c r="B24" s="38"/>
      <c r="C24" s="39"/>
      <c r="D24" s="39"/>
      <c r="E24" s="39"/>
      <c r="F24" s="39"/>
      <c r="G24" s="39"/>
      <c r="H24" s="39"/>
      <c r="I24" s="39"/>
      <c r="J24" s="40"/>
    </row>
    <row r="25" spans="1:10" x14ac:dyDescent="0.25">
      <c r="A25" s="43" t="str">
        <v>Wednesday, June 19, 2024</v>
      </c>
      <c r="B25" s="38"/>
      <c r="C25" s="39"/>
      <c r="D25" s="39"/>
      <c r="E25" s="39"/>
      <c r="F25" s="39"/>
      <c r="G25" s="39"/>
      <c r="H25" s="39"/>
      <c r="I25" s="39"/>
      <c r="J25" s="40"/>
    </row>
    <row r="26" spans="1:10" x14ac:dyDescent="0.25">
      <c r="A26" s="43" t="str">
        <v>Thursday, June 20, 2024</v>
      </c>
      <c r="B26" s="38"/>
      <c r="C26" s="39"/>
      <c r="D26" s="39"/>
      <c r="E26" s="39"/>
      <c r="F26" s="39"/>
      <c r="G26" s="39"/>
      <c r="H26" s="39"/>
      <c r="I26" s="39"/>
      <c r="J26" s="40"/>
    </row>
    <row r="27" spans="1:10" x14ac:dyDescent="0.25">
      <c r="A27" s="43" t="str">
        <v>Friday, June 21, 2024</v>
      </c>
      <c r="B27" s="38"/>
      <c r="C27" s="39"/>
      <c r="D27" s="39"/>
      <c r="E27" s="39"/>
      <c r="F27" s="39"/>
      <c r="G27" s="39"/>
      <c r="H27" s="39"/>
      <c r="I27" s="39"/>
      <c r="J27" s="40"/>
    </row>
    <row r="28" spans="1:10" x14ac:dyDescent="0.25">
      <c r="A28" s="43" t="str">
        <v>Saturday, June 22, 2024</v>
      </c>
      <c r="B28" s="38"/>
      <c r="C28" s="39"/>
      <c r="D28" s="39"/>
      <c r="E28" s="39"/>
      <c r="F28" s="39"/>
      <c r="G28" s="39"/>
      <c r="H28" s="39"/>
      <c r="I28" s="39"/>
      <c r="J28" s="40"/>
    </row>
    <row r="29" spans="1:10" x14ac:dyDescent="0.25">
      <c r="A29" s="43" t="str">
        <v>Sunday, June 23, 2024</v>
      </c>
      <c r="B29" s="38"/>
      <c r="C29" s="39"/>
      <c r="D29" s="39"/>
      <c r="E29" s="39"/>
      <c r="F29" s="39"/>
      <c r="G29" s="39"/>
      <c r="H29" s="39"/>
      <c r="I29" s="39"/>
      <c r="J29" s="40"/>
    </row>
    <row r="30" spans="1:10" x14ac:dyDescent="0.25">
      <c r="A30" s="43" t="str">
        <v>Monday, June 24, 2024</v>
      </c>
      <c r="B30" s="38"/>
      <c r="C30" s="39"/>
      <c r="D30" s="39"/>
      <c r="E30" s="39"/>
      <c r="F30" s="39"/>
      <c r="G30" s="39"/>
      <c r="H30" s="39"/>
      <c r="I30" s="39"/>
      <c r="J30" s="40"/>
    </row>
    <row r="31" spans="1:10" x14ac:dyDescent="0.25">
      <c r="A31" s="43" t="str">
        <v>Tuesday, June 25, 2024</v>
      </c>
      <c r="B31" s="38"/>
      <c r="C31" s="39"/>
      <c r="D31" s="39"/>
      <c r="E31" s="39"/>
      <c r="F31" s="39"/>
      <c r="G31" s="39"/>
      <c r="H31" s="39"/>
      <c r="I31" s="39"/>
      <c r="J31" s="40"/>
    </row>
    <row r="32" spans="1:10" x14ac:dyDescent="0.25">
      <c r="A32" s="43" t="str">
        <v>Wednesday, June 26, 2024</v>
      </c>
      <c r="B32" s="38"/>
      <c r="C32" s="39"/>
      <c r="D32" s="39"/>
      <c r="E32" s="39"/>
      <c r="F32" s="39"/>
      <c r="G32" s="39"/>
      <c r="H32" s="39"/>
      <c r="I32" s="39"/>
      <c r="J32" s="40"/>
    </row>
    <row r="33" spans="1:10" x14ac:dyDescent="0.25">
      <c r="A33" s="43" t="str">
        <v>Thursday, June 27, 2024</v>
      </c>
      <c r="B33" s="38"/>
      <c r="C33" s="39"/>
      <c r="D33" s="39"/>
      <c r="E33" s="39"/>
      <c r="F33" s="39"/>
      <c r="G33" s="39"/>
      <c r="H33" s="39"/>
      <c r="I33" s="39"/>
      <c r="J33" s="40"/>
    </row>
    <row r="34" spans="1:10" x14ac:dyDescent="0.25">
      <c r="A34" s="43" t="str">
        <v>Friday, June 28, 2024</v>
      </c>
      <c r="B34" s="38"/>
      <c r="C34" s="39"/>
      <c r="D34" s="39"/>
      <c r="E34" s="39"/>
      <c r="F34" s="39"/>
      <c r="G34" s="39"/>
      <c r="H34" s="39"/>
      <c r="I34" s="39"/>
      <c r="J34" s="40"/>
    </row>
    <row r="35" spans="1:10" x14ac:dyDescent="0.25">
      <c r="A35" s="43" t="str">
        <v>Saturday, June 29, 2024</v>
      </c>
      <c r="B35" s="38"/>
      <c r="C35" s="39"/>
      <c r="D35" s="39"/>
      <c r="E35" s="39"/>
      <c r="F35" s="39"/>
      <c r="G35" s="39"/>
      <c r="H35" s="39"/>
      <c r="I35" s="39"/>
      <c r="J35" s="40"/>
    </row>
    <row r="36" spans="1:10" x14ac:dyDescent="0.25">
      <c r="A36" s="43" t="str">
        <v>Sunday, June 30, 2024</v>
      </c>
      <c r="B36" s="38"/>
      <c r="C36" s="39"/>
      <c r="D36" s="39"/>
      <c r="E36" s="39"/>
      <c r="F36" s="39"/>
      <c r="G36" s="39"/>
      <c r="H36" s="39"/>
      <c r="I36" s="39"/>
      <c r="J36" s="40"/>
    </row>
    <row r="37" spans="1:10" x14ac:dyDescent="0.25">
      <c r="A37" s="25"/>
      <c r="B37" s="27"/>
      <c r="C37" s="26"/>
      <c r="D37" s="26"/>
      <c r="E37" s="26"/>
      <c r="F37" s="26"/>
      <c r="G37" s="26"/>
      <c r="H37" s="26"/>
      <c r="I37" s="26"/>
      <c r="J37" s="26"/>
    </row>
    <row r="38" spans="1:10" ht="13" x14ac:dyDescent="0.3">
      <c r="A38" s="19"/>
      <c r="B38" s="28"/>
      <c r="C38" s="14"/>
      <c r="D38" s="14"/>
      <c r="E38" s="14"/>
      <c r="F38" s="29"/>
      <c r="G38" s="14"/>
      <c r="H38" s="14"/>
      <c r="I38" s="14"/>
      <c r="J38" s="2"/>
    </row>
    <row r="39" spans="1:10" ht="13" x14ac:dyDescent="0.3">
      <c r="A39" s="30"/>
      <c r="B39" s="8" t="str">
        <f>C4&amp;" "&amp;F4&amp;" HOURS"</f>
        <v>June 2024 HOURS</v>
      </c>
      <c r="C39" s="15">
        <f t="shared" ref="C39:I39" si="0">SUM(C7:C38)</f>
        <v>0</v>
      </c>
      <c r="D39" s="7">
        <f t="shared" si="0"/>
        <v>0</v>
      </c>
      <c r="E39" s="15">
        <f t="shared" si="0"/>
        <v>0</v>
      </c>
      <c r="F39" s="7">
        <f t="shared" si="0"/>
        <v>0</v>
      </c>
      <c r="G39" s="15">
        <f t="shared" si="0"/>
        <v>0</v>
      </c>
      <c r="H39" s="7">
        <f t="shared" si="0"/>
        <v>0</v>
      </c>
      <c r="I39" s="7">
        <f t="shared" si="0"/>
        <v>0</v>
      </c>
      <c r="J39" s="24"/>
    </row>
    <row r="43" spans="1:10" x14ac:dyDescent="0.25">
      <c r="A43" t="str">
        <f>IFERROR(IF(A44="","","X"),"")</f>
        <v/>
      </c>
      <c r="F43" s="52" t="str">
        <f>IFERROR(IF(F44="","","X"),"")</f>
        <v/>
      </c>
      <c r="G43" s="52" t="str">
        <f>IFERROR(IF(G44="","","X"),"")</f>
        <v/>
      </c>
      <c r="H43" s="52" t="str">
        <f>IFERROR(IF(H44="","","X"),"")</f>
        <v/>
      </c>
      <c r="I43" s="52" t="str">
        <f>IFERROR(IF(I44="","","X"),"")</f>
        <v/>
      </c>
    </row>
    <row r="44" spans="1:10" x14ac:dyDescent="0.25">
      <c r="A44" s="33" t="str">
        <f>IFERROR(IF(AB2&gt;0,AA2,""),"")</f>
        <v/>
      </c>
      <c r="F44" s="51" t="str">
        <f>IFERROR(IF(AB$2&gt;1,AA3,""),"")</f>
        <v/>
      </c>
      <c r="G44" s="51"/>
      <c r="H44" s="51"/>
      <c r="I44" s="51"/>
    </row>
    <row r="45" spans="1:10" x14ac:dyDescent="0.25">
      <c r="A45" s="33" t="str">
        <f>IFERROR(VLOOKUP(A44,Sheet1!$D$2:$F$52,3,TRUE),"")</f>
        <v/>
      </c>
      <c r="F45" s="51" t="str">
        <f>IFERROR(VLOOKUP(F44,Sheet1!$D$2:$F$52,3,TRUE),"")</f>
        <v/>
      </c>
      <c r="G45" s="51" t="str">
        <f>IFERROR(VLOOKUP(G44,Sheet1!$D$2:$F$52,3,TRUE),"")</f>
        <v/>
      </c>
      <c r="H45" s="51" t="str">
        <f>IFERROR(VLOOKUP(H44,Sheet1!$D$2:$F$52,3,TRUE),"")</f>
        <v/>
      </c>
      <c r="I45" s="51" t="str">
        <f>IFERROR(VLOOKUP(I44,Sheet1!$D$2:$F$52,3,TRUE),"")</f>
        <v/>
      </c>
    </row>
    <row r="46" spans="1:10" x14ac:dyDescent="0.25">
      <c r="A46" t="str">
        <f>IFERROR(VLOOKUP(A44,Sheet1!$D$2:$F$52,2,TRUE),"")</f>
        <v/>
      </c>
      <c r="F46" s="50" t="str">
        <f>IFERROR(VLOOKUP(F44,Sheet1!$D$2:$F$52,2,TRUE),"")</f>
        <v/>
      </c>
      <c r="G46" s="50" t="str">
        <f>IFERROR(VLOOKUP(G44,Sheet1!$D$2:$F$52,2,TRUE),"")</f>
        <v/>
      </c>
      <c r="H46" s="50" t="str">
        <f>IFERROR(VLOOKUP(H44,Sheet1!$D$2:$F$52,2,TRUE),"")</f>
        <v/>
      </c>
      <c r="I46" s="50" t="str">
        <f>IFERROR(VLOOKUP(I44,Sheet1!$D$2:$F$52,2,TRUE),"")</f>
        <v/>
      </c>
    </row>
    <row r="49" spans="1:9" x14ac:dyDescent="0.25">
      <c r="A49" t="str">
        <f>IFERROR(IF(A50="","","X"),"")</f>
        <v/>
      </c>
      <c r="F49" s="50" t="str">
        <f>IFERROR(IF(F50="","","X"),"")</f>
        <v/>
      </c>
      <c r="G49" s="50"/>
      <c r="H49" s="50"/>
      <c r="I49" s="50"/>
    </row>
    <row r="50" spans="1:9" x14ac:dyDescent="0.25">
      <c r="A50" s="33" t="str">
        <f>IFERROR(IF(AB2&gt;2,AA4,""),"")</f>
        <v/>
      </c>
      <c r="F50" s="51" t="str">
        <f>IFERROR(IF(AB2&gt;3,AA5,""),"")</f>
        <v/>
      </c>
      <c r="G50" s="51"/>
      <c r="H50" s="51"/>
      <c r="I50" s="51"/>
    </row>
    <row r="51" spans="1:9" x14ac:dyDescent="0.25">
      <c r="A51" s="33" t="str">
        <f>IFERROR(VLOOKUP(A50,Sheet1!$D$2:$F$52,3,TRUE),"")</f>
        <v/>
      </c>
      <c r="F51" s="51" t="str">
        <f>IFERROR(VLOOKUP(F50,Sheet1!$D$2:$F$52,3,TRUE),"")</f>
        <v/>
      </c>
      <c r="G51" s="51"/>
      <c r="H51" s="51"/>
      <c r="I51" s="51"/>
    </row>
    <row r="52" spans="1:9" x14ac:dyDescent="0.25">
      <c r="A52" t="str">
        <f>IFERROR(VLOOKUP(A50,Sheet1!$D$2:$F$52,2,TRUE),"")</f>
        <v/>
      </c>
      <c r="F52" s="50" t="str">
        <f>IFERROR(VLOOKUP(F50,Sheet1!$D$2:$F$52,2,TRUE),"")</f>
        <v/>
      </c>
      <c r="G52" s="50"/>
      <c r="H52" s="50"/>
      <c r="I52" s="50"/>
    </row>
    <row r="55" spans="1:9" x14ac:dyDescent="0.25">
      <c r="A55" t="str">
        <f>IFERROR(IF(A56="","","X"),"")</f>
        <v/>
      </c>
      <c r="F55" s="50" t="str">
        <f>IFERROR(IF(F56="","","X"),"")</f>
        <v/>
      </c>
      <c r="G55" s="50"/>
      <c r="H55" s="50"/>
      <c r="I55" s="50"/>
    </row>
    <row r="56" spans="1:9" x14ac:dyDescent="0.25">
      <c r="A56" t="str">
        <f>IFERROR(IF(AB2&gt;4,AA6,""),"")</f>
        <v/>
      </c>
      <c r="F56" s="51" t="str">
        <f>IFERROR(IF(AB2&gt;5,AA7,""),"")</f>
        <v/>
      </c>
      <c r="G56" s="51"/>
      <c r="H56" s="51"/>
      <c r="I56" s="51"/>
    </row>
    <row r="57" spans="1:9" x14ac:dyDescent="0.25">
      <c r="A57" t="str">
        <f>IFERROR(VLOOKUP(A56,Sheet1!$D$2:$F$52,3,TRUE),"")</f>
        <v/>
      </c>
      <c r="F57" s="51" t="str">
        <f>IFERROR(VLOOKUP(F56,Sheet1!$D$2:$F$52,3,TRUE),"")</f>
        <v/>
      </c>
      <c r="G57" s="51"/>
      <c r="H57" s="51"/>
      <c r="I57" s="51"/>
    </row>
    <row r="58" spans="1:9" x14ac:dyDescent="0.25">
      <c r="A58" t="str">
        <f>IFERROR(VLOOKUP(A56,Sheet1!$D$2:$F$52,2,TRUE),"")</f>
        <v/>
      </c>
      <c r="F58" s="50" t="str">
        <f>IFERROR(VLOOKUP(F56,Sheet1!$D$2:$F$52,2,TRUE),"")</f>
        <v/>
      </c>
      <c r="G58" s="50"/>
      <c r="H58" s="50"/>
      <c r="I58" s="50"/>
    </row>
  </sheetData>
  <sheetProtection algorithmName="SHA-512" hashValue="9Is0dK/JHVGaMIkd3Ilp9obmu5qH5rs8IcDhbo0V+wo3UmbIrGs2YpOIsSWtD8zjKBlV2AHShiHhaeta+dEoFw==" saltValue="UkRFGdehUOXM0WWAgU1LPw==" spinCount="100000" sheet="1" objects="1" scenarios="1"/>
  <mergeCells count="17">
    <mergeCell ref="F52:I52"/>
    <mergeCell ref="F55:I55"/>
    <mergeCell ref="F56:I56"/>
    <mergeCell ref="F57:I57"/>
    <mergeCell ref="F58:I58"/>
    <mergeCell ref="F51:I51"/>
    <mergeCell ref="A1:E1"/>
    <mergeCell ref="F1:J1"/>
    <mergeCell ref="A3:J3"/>
    <mergeCell ref="C4:E4"/>
    <mergeCell ref="F4:G4"/>
    <mergeCell ref="F43:I43"/>
    <mergeCell ref="F44:I44"/>
    <mergeCell ref="F45:I45"/>
    <mergeCell ref="F46:I46"/>
    <mergeCell ref="F49:I49"/>
    <mergeCell ref="F50:I50"/>
  </mergeCells>
  <conditionalFormatting sqref="A43:B43">
    <cfRule type="expression" dxfId="41" priority="6" stopIfTrue="1">
      <formula>$A$44&lt;&gt;""</formula>
    </cfRule>
  </conditionalFormatting>
  <conditionalFormatting sqref="A49:B49">
    <cfRule type="expression" dxfId="40" priority="4" stopIfTrue="1">
      <formula>$A$50&lt;&gt;""</formula>
    </cfRule>
  </conditionalFormatting>
  <conditionalFormatting sqref="A55:B55">
    <cfRule type="expression" dxfId="39" priority="2" stopIfTrue="1">
      <formula>$A$56&lt;&gt;""</formula>
    </cfRule>
  </conditionalFormatting>
  <conditionalFormatting sqref="F43:J43">
    <cfRule type="expression" dxfId="38" priority="5" stopIfTrue="1">
      <formula>$F$44&lt;&gt;""</formula>
    </cfRule>
  </conditionalFormatting>
  <conditionalFormatting sqref="F49:J49">
    <cfRule type="expression" dxfId="37" priority="3" stopIfTrue="1">
      <formula>$F$50&lt;&gt;""</formula>
    </cfRule>
  </conditionalFormatting>
  <conditionalFormatting sqref="F55:J55">
    <cfRule type="expression" dxfId="36" priority="1" stopIfTrue="1">
      <formula>$F$56&lt;&gt;""</formula>
    </cfRule>
  </conditionalFormatting>
  <pageMargins left="0.5" right="0.5" top="0.5" bottom="0.5" header="0.5" footer="0.5"/>
  <pageSetup scale="75" orientation="portrait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1CB40EA-A352-48A9-902D-4F27186C34AE}">
          <x14:formula1>
            <xm:f>Sheet1!$D:$D</xm:f>
          </x14:formula1>
          <xm:sqref>J7:J36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F26AB-8B4B-4F57-855B-8446C929BA1D}">
  <sheetPr>
    <pageSetUpPr fitToPage="1"/>
  </sheetPr>
  <dimension ref="A1:AB59"/>
  <sheetViews>
    <sheetView topLeftCell="A6" zoomScaleNormal="100" workbookViewId="0">
      <selection activeCell="H6" sqref="H6"/>
    </sheetView>
  </sheetViews>
  <sheetFormatPr defaultColWidth="8.81640625" defaultRowHeight="12.5" x14ac:dyDescent="0.25"/>
  <cols>
    <col min="1" max="1" width="25.81640625" customWidth="1"/>
    <col min="2" max="2" width="24" customWidth="1"/>
    <col min="3" max="3" width="7.1796875" style="2" customWidth="1"/>
    <col min="4" max="4" width="6.1796875" style="2" customWidth="1"/>
    <col min="5" max="5" width="6.54296875" style="2" customWidth="1"/>
    <col min="6" max="6" width="6.54296875" customWidth="1"/>
    <col min="7" max="8" width="6.81640625" style="2" customWidth="1"/>
    <col min="9" max="9" width="7.453125" style="2" customWidth="1"/>
    <col min="10" max="10" width="32.453125" customWidth="1"/>
    <col min="27" max="27" width="15.1796875" bestFit="1" customWidth="1"/>
  </cols>
  <sheetData>
    <row r="1" spans="1:28" ht="72.75" customHeight="1" thickBot="1" x14ac:dyDescent="0.4">
      <c r="A1" s="44"/>
      <c r="B1" s="44"/>
      <c r="C1" s="44"/>
      <c r="D1" s="44"/>
      <c r="E1" s="44"/>
      <c r="F1" s="45" t="s">
        <v>138</v>
      </c>
      <c r="G1" s="46"/>
      <c r="H1" s="46"/>
      <c r="I1" s="46"/>
      <c r="J1" s="46"/>
    </row>
    <row r="2" spans="1:28" ht="15.5" x14ac:dyDescent="0.35">
      <c r="B2" s="5"/>
      <c r="C2" s="13"/>
      <c r="D2" s="13"/>
      <c r="E2" s="13"/>
      <c r="F2" s="5"/>
      <c r="G2" s="13"/>
      <c r="H2" s="13"/>
      <c r="I2" s="13"/>
      <c r="J2" s="5"/>
      <c r="AA2" t="str" cm="1">
        <f t="array" ref="AA2">IFERROR(_xlfn.UNIQUE(_xlfn._xlws.FILTER(J7:J37,J7:J37&lt;&gt;"")),"")</f>
        <v/>
      </c>
      <c r="AB2">
        <f>COUNTA(AA:AA)</f>
        <v>1</v>
      </c>
    </row>
    <row r="3" spans="1:28" ht="15.5" x14ac:dyDescent="0.35">
      <c r="A3" s="47" t="s">
        <v>12</v>
      </c>
      <c r="B3" s="47"/>
      <c r="C3" s="47"/>
      <c r="D3" s="47"/>
      <c r="E3" s="47"/>
      <c r="F3" s="47"/>
      <c r="G3" s="47"/>
      <c r="H3" s="47"/>
      <c r="I3" s="47"/>
      <c r="J3" s="47"/>
    </row>
    <row r="4" spans="1:28" ht="20.25" customHeight="1" x14ac:dyDescent="0.3">
      <c r="A4" s="1" t="s">
        <v>0</v>
      </c>
      <c r="B4" s="4" t="str">
        <f>IF(Jan!B4="","",Jan!B4)</f>
        <v>Your Name</v>
      </c>
      <c r="C4" s="48" t="s">
        <v>19</v>
      </c>
      <c r="D4" s="48"/>
      <c r="E4" s="48"/>
      <c r="F4" s="53">
        <f>Jan!F4</f>
        <v>2024</v>
      </c>
      <c r="G4" s="54"/>
    </row>
    <row r="5" spans="1:28" ht="21" customHeight="1" x14ac:dyDescent="0.4">
      <c r="A5" s="3"/>
      <c r="B5" s="4"/>
      <c r="C5" s="14"/>
      <c r="D5" s="14"/>
      <c r="E5" s="16" t="s">
        <v>7</v>
      </c>
      <c r="F5" s="4"/>
      <c r="G5" s="14"/>
      <c r="H5" s="14"/>
      <c r="I5" s="14"/>
      <c r="J5" s="3" t="s">
        <v>26</v>
      </c>
      <c r="K5" s="1"/>
      <c r="L5" s="1"/>
    </row>
    <row r="6" spans="1:28" s="2" customFormat="1" ht="13.5" thickBot="1" x14ac:dyDescent="0.35">
      <c r="A6" s="9" t="s">
        <v>1</v>
      </c>
      <c r="B6" s="10" t="s">
        <v>2</v>
      </c>
      <c r="C6" s="10" t="s">
        <v>3</v>
      </c>
      <c r="D6" s="10" t="s">
        <v>4</v>
      </c>
      <c r="E6" s="10" t="s">
        <v>140</v>
      </c>
      <c r="F6" s="10" t="s">
        <v>5</v>
      </c>
      <c r="G6" s="10" t="s">
        <v>6</v>
      </c>
      <c r="H6" s="10" t="s">
        <v>143</v>
      </c>
      <c r="I6" s="10" t="s">
        <v>8</v>
      </c>
      <c r="J6" s="11"/>
    </row>
    <row r="7" spans="1:28" x14ac:dyDescent="0.25">
      <c r="A7" s="43" t="str" cm="1">
        <f t="array" ref="A7:A37">IFERROR(
_xlfn.LET(
_xlpm.yr,$F$4,
_xlpm.mn,IF(ISNUMBER($C$4),$C$4,MONTH(1&amp;$C$4)),
_xlpm.first,DATE(_xlpm.yr,_xlpm.mn,1),
_xlpm.daysInMonth,DAY(EOMONTH(_xlpm.first,0)),
TEXT(_xlpm.first+_xlfn.SEQUENCE(_xlpm.daysInMonth)-1,"dddd, mmmm d, yyyy")
),
"")</f>
        <v>Monday, July 1, 2024</v>
      </c>
      <c r="B7" s="38"/>
      <c r="C7" s="39"/>
      <c r="D7" s="39"/>
      <c r="E7" s="39"/>
      <c r="F7" s="39"/>
      <c r="G7" s="39"/>
      <c r="H7" s="39"/>
      <c r="I7" s="39"/>
      <c r="J7" s="40"/>
    </row>
    <row r="8" spans="1:28" x14ac:dyDescent="0.25">
      <c r="A8" s="43" t="str">
        <v>Tuesday, July 2, 2024</v>
      </c>
      <c r="B8" s="38"/>
      <c r="C8" s="39"/>
      <c r="D8" s="39"/>
      <c r="E8" s="39"/>
      <c r="F8" s="39"/>
      <c r="G8" s="39"/>
      <c r="H8" s="39"/>
      <c r="I8" s="39"/>
      <c r="J8" s="40"/>
    </row>
    <row r="9" spans="1:28" x14ac:dyDescent="0.25">
      <c r="A9" s="43" t="str">
        <v>Wednesday, July 3, 2024</v>
      </c>
      <c r="B9" s="38"/>
      <c r="C9" s="39"/>
      <c r="D9" s="39"/>
      <c r="E9" s="39"/>
      <c r="F9" s="39"/>
      <c r="G9" s="39"/>
      <c r="H9" s="39"/>
      <c r="I9" s="39"/>
      <c r="J9" s="40"/>
    </row>
    <row r="10" spans="1:28" x14ac:dyDescent="0.25">
      <c r="A10" s="43" t="str">
        <v>Thursday, July 4, 2024</v>
      </c>
      <c r="B10" s="38"/>
      <c r="C10" s="39"/>
      <c r="D10" s="39"/>
      <c r="E10" s="39"/>
      <c r="F10" s="39"/>
      <c r="G10" s="39"/>
      <c r="H10" s="39"/>
      <c r="I10" s="39"/>
      <c r="J10" s="40"/>
    </row>
    <row r="11" spans="1:28" x14ac:dyDescent="0.25">
      <c r="A11" s="43" t="str">
        <v>Friday, July 5, 2024</v>
      </c>
      <c r="B11" s="38"/>
      <c r="C11" s="39"/>
      <c r="D11" s="39"/>
      <c r="E11" s="39"/>
      <c r="F11" s="39"/>
      <c r="G11" s="39"/>
      <c r="H11" s="39"/>
      <c r="I11" s="39"/>
      <c r="J11" s="40"/>
    </row>
    <row r="12" spans="1:28" x14ac:dyDescent="0.25">
      <c r="A12" s="43" t="str">
        <v>Saturday, July 6, 2024</v>
      </c>
      <c r="B12" s="38"/>
      <c r="C12" s="39"/>
      <c r="D12" s="39"/>
      <c r="E12" s="39"/>
      <c r="F12" s="39"/>
      <c r="G12" s="39"/>
      <c r="H12" s="39"/>
      <c r="I12" s="39"/>
      <c r="J12" s="40"/>
    </row>
    <row r="13" spans="1:28" x14ac:dyDescent="0.25">
      <c r="A13" s="43" t="str">
        <v>Sunday, July 7, 2024</v>
      </c>
      <c r="B13" s="38"/>
      <c r="C13" s="39"/>
      <c r="D13" s="39"/>
      <c r="E13" s="39"/>
      <c r="F13" s="39"/>
      <c r="G13" s="39"/>
      <c r="H13" s="39"/>
      <c r="I13" s="39"/>
      <c r="J13" s="40"/>
    </row>
    <row r="14" spans="1:28" x14ac:dyDescent="0.25">
      <c r="A14" s="43" t="str">
        <v>Monday, July 8, 2024</v>
      </c>
      <c r="B14" s="38"/>
      <c r="C14" s="39"/>
      <c r="D14" s="39"/>
      <c r="E14" s="39"/>
      <c r="F14" s="39"/>
      <c r="G14" s="39"/>
      <c r="H14" s="39"/>
      <c r="I14" s="39"/>
      <c r="J14" s="40"/>
    </row>
    <row r="15" spans="1:28" x14ac:dyDescent="0.25">
      <c r="A15" s="43" t="str">
        <v>Tuesday, July 9, 2024</v>
      </c>
      <c r="B15" s="38"/>
      <c r="C15" s="39"/>
      <c r="D15" s="39"/>
      <c r="E15" s="39"/>
      <c r="F15" s="39"/>
      <c r="G15" s="39"/>
      <c r="H15" s="39"/>
      <c r="I15" s="39"/>
      <c r="J15" s="40"/>
    </row>
    <row r="16" spans="1:28" x14ac:dyDescent="0.25">
      <c r="A16" s="43" t="str">
        <v>Wednesday, July 10, 2024</v>
      </c>
      <c r="B16" s="38"/>
      <c r="C16" s="39"/>
      <c r="D16" s="39"/>
      <c r="E16" s="39"/>
      <c r="F16" s="39"/>
      <c r="G16" s="39"/>
      <c r="H16" s="39"/>
      <c r="I16" s="39"/>
      <c r="J16" s="40"/>
    </row>
    <row r="17" spans="1:10" x14ac:dyDescent="0.25">
      <c r="A17" s="43" t="str">
        <v>Thursday, July 11, 2024</v>
      </c>
      <c r="B17" s="38"/>
      <c r="C17" s="39"/>
      <c r="D17" s="39"/>
      <c r="E17" s="39"/>
      <c r="F17" s="39"/>
      <c r="G17" s="39"/>
      <c r="H17" s="39"/>
      <c r="I17" s="39"/>
      <c r="J17" s="40"/>
    </row>
    <row r="18" spans="1:10" x14ac:dyDescent="0.25">
      <c r="A18" s="43" t="str">
        <v>Friday, July 12, 2024</v>
      </c>
      <c r="B18" s="38"/>
      <c r="C18" s="39"/>
      <c r="D18" s="39"/>
      <c r="E18" s="39"/>
      <c r="F18" s="39"/>
      <c r="G18" s="39"/>
      <c r="H18" s="39"/>
      <c r="I18" s="39"/>
      <c r="J18" s="40"/>
    </row>
    <row r="19" spans="1:10" x14ac:dyDescent="0.25">
      <c r="A19" s="43" t="str">
        <v>Saturday, July 13, 2024</v>
      </c>
      <c r="B19" s="38"/>
      <c r="C19" s="39"/>
      <c r="D19" s="39"/>
      <c r="E19" s="39"/>
      <c r="F19" s="39"/>
      <c r="G19" s="39"/>
      <c r="H19" s="39"/>
      <c r="I19" s="39"/>
      <c r="J19" s="40"/>
    </row>
    <row r="20" spans="1:10" x14ac:dyDescent="0.25">
      <c r="A20" s="43" t="str">
        <v>Sunday, July 14, 2024</v>
      </c>
      <c r="B20" s="38"/>
      <c r="C20" s="39"/>
      <c r="D20" s="39"/>
      <c r="E20" s="39"/>
      <c r="F20" s="39"/>
      <c r="G20" s="39"/>
      <c r="H20" s="39"/>
      <c r="I20" s="39"/>
      <c r="J20" s="40"/>
    </row>
    <row r="21" spans="1:10" x14ac:dyDescent="0.25">
      <c r="A21" s="43" t="str">
        <v>Monday, July 15, 2024</v>
      </c>
      <c r="B21" s="38"/>
      <c r="C21" s="39"/>
      <c r="D21" s="39"/>
      <c r="E21" s="39"/>
      <c r="F21" s="39"/>
      <c r="G21" s="39"/>
      <c r="H21" s="39"/>
      <c r="I21" s="39"/>
      <c r="J21" s="40"/>
    </row>
    <row r="22" spans="1:10" x14ac:dyDescent="0.25">
      <c r="A22" s="43" t="str">
        <v>Tuesday, July 16, 2024</v>
      </c>
      <c r="B22" s="38"/>
      <c r="C22" s="39"/>
      <c r="D22" s="39"/>
      <c r="E22" s="39"/>
      <c r="F22" s="39"/>
      <c r="G22" s="39"/>
      <c r="H22" s="39"/>
      <c r="I22" s="39"/>
      <c r="J22" s="40"/>
    </row>
    <row r="23" spans="1:10" x14ac:dyDescent="0.25">
      <c r="A23" s="43" t="str">
        <v>Wednesday, July 17, 2024</v>
      </c>
      <c r="B23" s="40"/>
      <c r="C23" s="39"/>
      <c r="D23" s="39"/>
      <c r="E23" s="39"/>
      <c r="F23" s="39"/>
      <c r="G23" s="39"/>
      <c r="H23" s="39"/>
      <c r="I23" s="39"/>
      <c r="J23" s="40"/>
    </row>
    <row r="24" spans="1:10" x14ac:dyDescent="0.25">
      <c r="A24" s="43" t="str">
        <v>Thursday, July 18, 2024</v>
      </c>
      <c r="B24" s="38"/>
      <c r="C24" s="39"/>
      <c r="D24" s="39"/>
      <c r="E24" s="39"/>
      <c r="F24" s="39"/>
      <c r="G24" s="39"/>
      <c r="H24" s="39"/>
      <c r="I24" s="39"/>
      <c r="J24" s="40"/>
    </row>
    <row r="25" spans="1:10" x14ac:dyDescent="0.25">
      <c r="A25" s="43" t="str">
        <v>Friday, July 19, 2024</v>
      </c>
      <c r="B25" s="38"/>
      <c r="C25" s="39"/>
      <c r="D25" s="39"/>
      <c r="E25" s="39"/>
      <c r="F25" s="39"/>
      <c r="G25" s="39"/>
      <c r="H25" s="39"/>
      <c r="I25" s="39"/>
      <c r="J25" s="40"/>
    </row>
    <row r="26" spans="1:10" x14ac:dyDescent="0.25">
      <c r="A26" s="43" t="str">
        <v>Saturday, July 20, 2024</v>
      </c>
      <c r="B26" s="38"/>
      <c r="C26" s="39"/>
      <c r="D26" s="39"/>
      <c r="E26" s="39"/>
      <c r="F26" s="39"/>
      <c r="G26" s="39"/>
      <c r="H26" s="39"/>
      <c r="I26" s="39"/>
      <c r="J26" s="40"/>
    </row>
    <row r="27" spans="1:10" x14ac:dyDescent="0.25">
      <c r="A27" s="43" t="str">
        <v>Sunday, July 21, 2024</v>
      </c>
      <c r="B27" s="38"/>
      <c r="C27" s="39"/>
      <c r="D27" s="39"/>
      <c r="E27" s="39"/>
      <c r="F27" s="39"/>
      <c r="G27" s="39"/>
      <c r="H27" s="39"/>
      <c r="I27" s="39"/>
      <c r="J27" s="40"/>
    </row>
    <row r="28" spans="1:10" x14ac:dyDescent="0.25">
      <c r="A28" s="43" t="str">
        <v>Monday, July 22, 2024</v>
      </c>
      <c r="B28" s="38"/>
      <c r="C28" s="39"/>
      <c r="D28" s="39"/>
      <c r="E28" s="39"/>
      <c r="F28" s="39"/>
      <c r="G28" s="39"/>
      <c r="H28" s="39"/>
      <c r="I28" s="39"/>
      <c r="J28" s="40"/>
    </row>
    <row r="29" spans="1:10" x14ac:dyDescent="0.25">
      <c r="A29" s="43" t="str">
        <v>Tuesday, July 23, 2024</v>
      </c>
      <c r="B29" s="38"/>
      <c r="C29" s="39"/>
      <c r="D29" s="39"/>
      <c r="E29" s="39"/>
      <c r="F29" s="39"/>
      <c r="G29" s="39"/>
      <c r="H29" s="39"/>
      <c r="I29" s="39"/>
      <c r="J29" s="40"/>
    </row>
    <row r="30" spans="1:10" x14ac:dyDescent="0.25">
      <c r="A30" s="43" t="str">
        <v>Wednesday, July 24, 2024</v>
      </c>
      <c r="B30" s="38"/>
      <c r="C30" s="39"/>
      <c r="D30" s="39"/>
      <c r="E30" s="39"/>
      <c r="F30" s="39"/>
      <c r="G30" s="39"/>
      <c r="H30" s="39"/>
      <c r="I30" s="39"/>
      <c r="J30" s="40"/>
    </row>
    <row r="31" spans="1:10" x14ac:dyDescent="0.25">
      <c r="A31" s="43" t="str">
        <v>Thursday, July 25, 2024</v>
      </c>
      <c r="B31" s="38"/>
      <c r="C31" s="39"/>
      <c r="D31" s="39"/>
      <c r="E31" s="39"/>
      <c r="F31" s="39"/>
      <c r="G31" s="39"/>
      <c r="H31" s="39"/>
      <c r="I31" s="39"/>
      <c r="J31" s="40"/>
    </row>
    <row r="32" spans="1:10" x14ac:dyDescent="0.25">
      <c r="A32" s="43" t="str">
        <v>Friday, July 26, 2024</v>
      </c>
      <c r="B32" s="38"/>
      <c r="C32" s="39"/>
      <c r="D32" s="39"/>
      <c r="E32" s="39"/>
      <c r="F32" s="39"/>
      <c r="G32" s="39"/>
      <c r="H32" s="39"/>
      <c r="I32" s="39"/>
      <c r="J32" s="40"/>
    </row>
    <row r="33" spans="1:10" x14ac:dyDescent="0.25">
      <c r="A33" s="43" t="str">
        <v>Saturday, July 27, 2024</v>
      </c>
      <c r="B33" s="38"/>
      <c r="C33" s="39"/>
      <c r="D33" s="39"/>
      <c r="E33" s="39"/>
      <c r="F33" s="39"/>
      <c r="G33" s="39"/>
      <c r="H33" s="39"/>
      <c r="I33" s="39"/>
      <c r="J33" s="40"/>
    </row>
    <row r="34" spans="1:10" x14ac:dyDescent="0.25">
      <c r="A34" s="43" t="str">
        <v>Sunday, July 28, 2024</v>
      </c>
      <c r="B34" s="38"/>
      <c r="C34" s="39"/>
      <c r="D34" s="39"/>
      <c r="E34" s="39"/>
      <c r="F34" s="39"/>
      <c r="G34" s="39"/>
      <c r="H34" s="39"/>
      <c r="I34" s="39"/>
      <c r="J34" s="40"/>
    </row>
    <row r="35" spans="1:10" x14ac:dyDescent="0.25">
      <c r="A35" s="43" t="str">
        <v>Monday, July 29, 2024</v>
      </c>
      <c r="B35" s="38"/>
      <c r="C35" s="39"/>
      <c r="D35" s="39"/>
      <c r="E35" s="39"/>
      <c r="F35" s="39"/>
      <c r="G35" s="39"/>
      <c r="H35" s="39"/>
      <c r="I35" s="39"/>
      <c r="J35" s="40"/>
    </row>
    <row r="36" spans="1:10" x14ac:dyDescent="0.25">
      <c r="A36" s="43" t="str">
        <v>Tuesday, July 30, 2024</v>
      </c>
      <c r="B36" s="38"/>
      <c r="C36" s="39"/>
      <c r="D36" s="39"/>
      <c r="E36" s="39"/>
      <c r="F36" s="39"/>
      <c r="G36" s="39"/>
      <c r="H36" s="39"/>
      <c r="I36" s="39"/>
      <c r="J36" s="40"/>
    </row>
    <row r="37" spans="1:10" x14ac:dyDescent="0.25">
      <c r="A37" s="43" t="str">
        <v>Wednesday, July 31, 2024</v>
      </c>
      <c r="B37" s="38"/>
      <c r="C37" s="39"/>
      <c r="D37" s="39"/>
      <c r="E37" s="39"/>
      <c r="F37" s="39"/>
      <c r="G37" s="39"/>
      <c r="H37" s="39"/>
      <c r="I37" s="39"/>
      <c r="J37" s="40"/>
    </row>
    <row r="38" spans="1:10" x14ac:dyDescent="0.25">
      <c r="A38" s="25"/>
      <c r="B38" s="27"/>
      <c r="C38" s="26"/>
      <c r="D38" s="26"/>
      <c r="E38" s="26"/>
      <c r="F38" s="26"/>
      <c r="G38" s="26"/>
      <c r="H38" s="26"/>
      <c r="I38" s="26"/>
      <c r="J38" s="26"/>
    </row>
    <row r="39" spans="1:10" ht="13" x14ac:dyDescent="0.3">
      <c r="A39" s="19"/>
      <c r="B39" s="28"/>
      <c r="C39" s="14"/>
      <c r="D39" s="14"/>
      <c r="E39" s="14"/>
      <c r="F39" s="29"/>
      <c r="G39" s="14"/>
      <c r="H39" s="14"/>
      <c r="I39" s="14"/>
      <c r="J39" s="2"/>
    </row>
    <row r="40" spans="1:10" ht="13" x14ac:dyDescent="0.3">
      <c r="A40" s="30"/>
      <c r="B40" s="8" t="str">
        <f>C4&amp;" "&amp;F4&amp;" HOURS"</f>
        <v>July 2024 HOURS</v>
      </c>
      <c r="C40" s="15">
        <f t="shared" ref="C40:I40" si="0">SUM(C7:C39)</f>
        <v>0</v>
      </c>
      <c r="D40" s="7">
        <f t="shared" si="0"/>
        <v>0</v>
      </c>
      <c r="E40" s="15">
        <f t="shared" si="0"/>
        <v>0</v>
      </c>
      <c r="F40" s="7">
        <f t="shared" si="0"/>
        <v>0</v>
      </c>
      <c r="G40" s="15">
        <f t="shared" si="0"/>
        <v>0</v>
      </c>
      <c r="H40" s="7">
        <f t="shared" si="0"/>
        <v>0</v>
      </c>
      <c r="I40" s="7">
        <f t="shared" si="0"/>
        <v>0</v>
      </c>
      <c r="J40" s="24"/>
    </row>
    <row r="44" spans="1:10" x14ac:dyDescent="0.25">
      <c r="A44" t="str">
        <f>IFERROR(IF(A45="","","X"),"")</f>
        <v/>
      </c>
      <c r="F44" s="52" t="str">
        <f>IFERROR(IF(F45="","","X"),"")</f>
        <v/>
      </c>
      <c r="G44" s="52" t="str">
        <f>IFERROR(IF(G45="","","X"),"")</f>
        <v/>
      </c>
      <c r="H44" s="52" t="str">
        <f>IFERROR(IF(H45="","","X"),"")</f>
        <v/>
      </c>
      <c r="I44" s="52" t="str">
        <f>IFERROR(IF(I45="","","X"),"")</f>
        <v/>
      </c>
    </row>
    <row r="45" spans="1:10" x14ac:dyDescent="0.25">
      <c r="A45" s="33" t="str">
        <f>IFERROR(IF(AB2&gt;0,AA2,""),"")</f>
        <v/>
      </c>
      <c r="F45" s="51" t="str">
        <f>IFERROR(IF(AB$2&gt;1,AA3,""),"")</f>
        <v/>
      </c>
      <c r="G45" s="51"/>
      <c r="H45" s="51"/>
      <c r="I45" s="51"/>
    </row>
    <row r="46" spans="1:10" x14ac:dyDescent="0.25">
      <c r="A46" s="33" t="str">
        <f>IFERROR(VLOOKUP(A45,Sheet1!$D$2:$F$52,3,TRUE),"")</f>
        <v/>
      </c>
      <c r="F46" s="51" t="str">
        <f>IFERROR(VLOOKUP(F45,Sheet1!$D$2:$F$52,3,TRUE),"")</f>
        <v/>
      </c>
      <c r="G46" s="51" t="str">
        <f>IFERROR(VLOOKUP(G45,Sheet1!$D$2:$F$52,3,TRUE),"")</f>
        <v/>
      </c>
      <c r="H46" s="51" t="str">
        <f>IFERROR(VLOOKUP(H45,Sheet1!$D$2:$F$52,3,TRUE),"")</f>
        <v/>
      </c>
      <c r="I46" s="51" t="str">
        <f>IFERROR(VLOOKUP(I45,Sheet1!$D$2:$F$52,3,TRUE),"")</f>
        <v/>
      </c>
    </row>
    <row r="47" spans="1:10" x14ac:dyDescent="0.25">
      <c r="A47" t="str">
        <f>IFERROR(VLOOKUP(A45,Sheet1!$D$2:$F$52,2,TRUE),"")</f>
        <v/>
      </c>
      <c r="F47" s="50" t="str">
        <f>IFERROR(VLOOKUP(F45,Sheet1!$D$2:$F$52,2,TRUE),"")</f>
        <v/>
      </c>
      <c r="G47" s="50" t="str">
        <f>IFERROR(VLOOKUP(G45,Sheet1!$D$2:$F$52,2,TRUE),"")</f>
        <v/>
      </c>
      <c r="H47" s="50" t="str">
        <f>IFERROR(VLOOKUP(H45,Sheet1!$D$2:$F$52,2,TRUE),"")</f>
        <v/>
      </c>
      <c r="I47" s="50" t="str">
        <f>IFERROR(VLOOKUP(I45,Sheet1!$D$2:$F$52,2,TRUE),"")</f>
        <v/>
      </c>
    </row>
    <row r="50" spans="1:9" x14ac:dyDescent="0.25">
      <c r="A50" t="str">
        <f>IFERROR(IF(A51="","","X"),"")</f>
        <v/>
      </c>
      <c r="F50" s="50" t="str">
        <f>IFERROR(IF(F51="","","X"),"")</f>
        <v/>
      </c>
      <c r="G50" s="50"/>
      <c r="H50" s="50"/>
      <c r="I50" s="50"/>
    </row>
    <row r="51" spans="1:9" x14ac:dyDescent="0.25">
      <c r="A51" s="33" t="str">
        <f>IFERROR(IF(AB2&gt;2,AA4,""),"")</f>
        <v/>
      </c>
      <c r="F51" s="51" t="str">
        <f>IFERROR(IF(AB2&gt;3,AA5,""),"")</f>
        <v/>
      </c>
      <c r="G51" s="51"/>
      <c r="H51" s="51"/>
      <c r="I51" s="51"/>
    </row>
    <row r="52" spans="1:9" x14ac:dyDescent="0.25">
      <c r="A52" s="33" t="str">
        <f>IFERROR(VLOOKUP(A51,Sheet1!$D$2:$F$52,3,TRUE),"")</f>
        <v/>
      </c>
      <c r="F52" s="51" t="str">
        <f>IFERROR(VLOOKUP(F51,Sheet1!$D$2:$F$52,3,TRUE),"")</f>
        <v/>
      </c>
      <c r="G52" s="51"/>
      <c r="H52" s="51"/>
      <c r="I52" s="51"/>
    </row>
    <row r="53" spans="1:9" x14ac:dyDescent="0.25">
      <c r="A53" t="str">
        <f>IFERROR(VLOOKUP(A51,Sheet1!$D$2:$F$52,2,TRUE),"")</f>
        <v/>
      </c>
      <c r="F53" s="50" t="str">
        <f>IFERROR(VLOOKUP(F51,Sheet1!$D$2:$F$52,2,TRUE),"")</f>
        <v/>
      </c>
      <c r="G53" s="50"/>
      <c r="H53" s="50"/>
      <c r="I53" s="50"/>
    </row>
    <row r="56" spans="1:9" x14ac:dyDescent="0.25">
      <c r="A56" t="str">
        <f>IFERROR(IF(A57="","","X"),"")</f>
        <v/>
      </c>
      <c r="F56" s="50" t="str">
        <f>IFERROR(IF(F57="","","X"),"")</f>
        <v/>
      </c>
      <c r="G56" s="50"/>
      <c r="H56" s="50"/>
      <c r="I56" s="50"/>
    </row>
    <row r="57" spans="1:9" x14ac:dyDescent="0.25">
      <c r="A57" t="str">
        <f>IFERROR(IF(AB2&gt;4,AA6,""),"")</f>
        <v/>
      </c>
      <c r="F57" s="51" t="str">
        <f>IFERROR(IF(AB2&gt;5,AA7,""),"")</f>
        <v/>
      </c>
      <c r="G57" s="51"/>
      <c r="H57" s="51"/>
      <c r="I57" s="51"/>
    </row>
    <row r="58" spans="1:9" x14ac:dyDescent="0.25">
      <c r="A58" t="str">
        <f>IFERROR(VLOOKUP(A57,Sheet1!$D$2:$F$52,3,TRUE),"")</f>
        <v/>
      </c>
      <c r="F58" s="51" t="str">
        <f>IFERROR(VLOOKUP(F57,Sheet1!$D$2:$F$52,3,TRUE),"")</f>
        <v/>
      </c>
      <c r="G58" s="51"/>
      <c r="H58" s="51"/>
      <c r="I58" s="51"/>
    </row>
    <row r="59" spans="1:9" x14ac:dyDescent="0.25">
      <c r="A59" t="str">
        <f>IFERROR(VLOOKUP(A57,Sheet1!$D$2:$F$52,2,TRUE),"")</f>
        <v/>
      </c>
      <c r="F59" s="50" t="str">
        <f>IFERROR(VLOOKUP(F57,Sheet1!$D$2:$F$52,2,TRUE),"")</f>
        <v/>
      </c>
      <c r="G59" s="50"/>
      <c r="H59" s="50"/>
      <c r="I59" s="50"/>
    </row>
  </sheetData>
  <sheetProtection algorithmName="SHA-512" hashValue="WAMiq4JGDNcwu0bvGiok2HFJJbB7/I/qDtktCJyYKYnGWyV/7trvJ8SND+uZ/bE8JlT6hFlFRY9cjxsZW+cSvQ==" saltValue="xEHb7JNYY3l3DI7nm9uTWg==" spinCount="100000" sheet="1" objects="1" scenarios="1"/>
  <mergeCells count="17">
    <mergeCell ref="F53:I53"/>
    <mergeCell ref="F56:I56"/>
    <mergeCell ref="F57:I57"/>
    <mergeCell ref="F58:I58"/>
    <mergeCell ref="F59:I59"/>
    <mergeCell ref="F52:I52"/>
    <mergeCell ref="A1:E1"/>
    <mergeCell ref="F1:J1"/>
    <mergeCell ref="A3:J3"/>
    <mergeCell ref="C4:E4"/>
    <mergeCell ref="F4:G4"/>
    <mergeCell ref="F44:I44"/>
    <mergeCell ref="F45:I45"/>
    <mergeCell ref="F46:I46"/>
    <mergeCell ref="F47:I47"/>
    <mergeCell ref="F50:I50"/>
    <mergeCell ref="F51:I51"/>
  </mergeCells>
  <conditionalFormatting sqref="A44:B44">
    <cfRule type="expression" dxfId="35" priority="6" stopIfTrue="1">
      <formula>$A$45&lt;&gt;""</formula>
    </cfRule>
  </conditionalFormatting>
  <conditionalFormatting sqref="A50:B50">
    <cfRule type="expression" dxfId="34" priority="4" stopIfTrue="1">
      <formula>$A$51&lt;&gt;""</formula>
    </cfRule>
  </conditionalFormatting>
  <conditionalFormatting sqref="A56:B56">
    <cfRule type="expression" dxfId="33" priority="2" stopIfTrue="1">
      <formula>$A$57&lt;&gt;""</formula>
    </cfRule>
  </conditionalFormatting>
  <conditionalFormatting sqref="F44:J44">
    <cfRule type="expression" dxfId="32" priority="5" stopIfTrue="1">
      <formula>$F$45&lt;&gt;""</formula>
    </cfRule>
  </conditionalFormatting>
  <conditionalFormatting sqref="F50:J50">
    <cfRule type="expression" dxfId="31" priority="3" stopIfTrue="1">
      <formula>$F$51&lt;&gt;""</formula>
    </cfRule>
  </conditionalFormatting>
  <conditionalFormatting sqref="F56:J56">
    <cfRule type="expression" dxfId="30" priority="1" stopIfTrue="1">
      <formula>$F$57&lt;&gt;""</formula>
    </cfRule>
  </conditionalFormatting>
  <pageMargins left="0.5" right="0.5" top="0.5" bottom="0.5" header="0.5" footer="0.5"/>
  <pageSetup scale="75" orientation="portrait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2DB3FA8-E8E7-4C1F-930F-34D1B89C1111}">
          <x14:formula1>
            <xm:f>Sheet1!$D:$D</xm:f>
          </x14:formula1>
          <xm:sqref>J7:J37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56431-BB4C-468B-A6C3-25C4DFC49F7C}">
  <sheetPr>
    <pageSetUpPr fitToPage="1"/>
  </sheetPr>
  <dimension ref="A1:AB59"/>
  <sheetViews>
    <sheetView zoomScaleNormal="100" workbookViewId="0">
      <selection activeCell="H6" sqref="H6"/>
    </sheetView>
  </sheetViews>
  <sheetFormatPr defaultColWidth="8.81640625" defaultRowHeight="12.5" x14ac:dyDescent="0.25"/>
  <cols>
    <col min="1" max="1" width="25.81640625" customWidth="1"/>
    <col min="2" max="2" width="24" customWidth="1"/>
    <col min="3" max="3" width="7.1796875" style="2" customWidth="1"/>
    <col min="4" max="4" width="6.1796875" style="2" customWidth="1"/>
    <col min="5" max="5" width="6.54296875" style="2" customWidth="1"/>
    <col min="6" max="6" width="6.54296875" customWidth="1"/>
    <col min="7" max="8" width="6.81640625" style="2" customWidth="1"/>
    <col min="9" max="9" width="7.453125" style="2" customWidth="1"/>
    <col min="10" max="10" width="32.453125" customWidth="1"/>
    <col min="27" max="27" width="15.1796875" bestFit="1" customWidth="1"/>
  </cols>
  <sheetData>
    <row r="1" spans="1:28" ht="72.75" customHeight="1" thickBot="1" x14ac:dyDescent="0.4">
      <c r="A1" s="44"/>
      <c r="B1" s="44"/>
      <c r="C1" s="44"/>
      <c r="D1" s="44"/>
      <c r="E1" s="44"/>
      <c r="F1" s="45" t="s">
        <v>138</v>
      </c>
      <c r="G1" s="46"/>
      <c r="H1" s="46"/>
      <c r="I1" s="46"/>
      <c r="J1" s="46"/>
    </row>
    <row r="2" spans="1:28" ht="15.5" x14ac:dyDescent="0.35">
      <c r="B2" s="5"/>
      <c r="C2" s="13"/>
      <c r="D2" s="13"/>
      <c r="E2" s="13"/>
      <c r="F2" s="5"/>
      <c r="G2" s="13"/>
      <c r="H2" s="13"/>
      <c r="I2" s="13"/>
      <c r="J2" s="5"/>
      <c r="AA2" t="str" cm="1">
        <f t="array" ref="AA2">IFERROR(_xlfn.UNIQUE(_xlfn._xlws.FILTER(J7:J37,J7:J37&lt;&gt;"")),"")</f>
        <v/>
      </c>
      <c r="AB2">
        <f>COUNTA(AA:AA)</f>
        <v>1</v>
      </c>
    </row>
    <row r="3" spans="1:28" ht="15.5" x14ac:dyDescent="0.35">
      <c r="A3" s="47" t="s">
        <v>12</v>
      </c>
      <c r="B3" s="47"/>
      <c r="C3" s="47"/>
      <c r="D3" s="47"/>
      <c r="E3" s="47"/>
      <c r="F3" s="47"/>
      <c r="G3" s="47"/>
      <c r="H3" s="47"/>
      <c r="I3" s="47"/>
      <c r="J3" s="47"/>
    </row>
    <row r="4" spans="1:28" ht="20.25" customHeight="1" x14ac:dyDescent="0.3">
      <c r="A4" s="1" t="s">
        <v>0</v>
      </c>
      <c r="B4" s="4" t="str">
        <f>IF(Jan!B4="","",Jan!B4)</f>
        <v>Your Name</v>
      </c>
      <c r="C4" s="48" t="s">
        <v>20</v>
      </c>
      <c r="D4" s="48"/>
      <c r="E4" s="48"/>
      <c r="F4" s="53">
        <f>Jan!F4</f>
        <v>2024</v>
      </c>
      <c r="G4" s="54"/>
    </row>
    <row r="5" spans="1:28" ht="21" customHeight="1" x14ac:dyDescent="0.4">
      <c r="A5" s="3"/>
      <c r="B5" s="4"/>
      <c r="C5" s="14"/>
      <c r="D5" s="14"/>
      <c r="E5" s="16" t="s">
        <v>7</v>
      </c>
      <c r="F5" s="4"/>
      <c r="G5" s="14"/>
      <c r="H5" s="14"/>
      <c r="I5" s="14"/>
      <c r="J5" s="3" t="s">
        <v>26</v>
      </c>
      <c r="K5" s="1"/>
      <c r="L5" s="1"/>
    </row>
    <row r="6" spans="1:28" s="2" customFormat="1" ht="13.5" thickBot="1" x14ac:dyDescent="0.35">
      <c r="A6" s="9" t="s">
        <v>1</v>
      </c>
      <c r="B6" s="10" t="s">
        <v>2</v>
      </c>
      <c r="C6" s="10" t="s">
        <v>3</v>
      </c>
      <c r="D6" s="10" t="s">
        <v>4</v>
      </c>
      <c r="E6" s="10" t="s">
        <v>140</v>
      </c>
      <c r="F6" s="10" t="s">
        <v>5</v>
      </c>
      <c r="G6" s="10" t="s">
        <v>6</v>
      </c>
      <c r="H6" s="10" t="s">
        <v>143</v>
      </c>
      <c r="I6" s="10" t="s">
        <v>8</v>
      </c>
      <c r="J6" s="11"/>
    </row>
    <row r="7" spans="1:28" x14ac:dyDescent="0.25">
      <c r="A7" s="43" t="str" cm="1">
        <f t="array" ref="A7:A37">IFERROR(
_xlfn.LET(
_xlpm.yr,$F$4,
_xlpm.mn,IF(ISNUMBER($C$4),$C$4,MONTH(1&amp;$C$4)),
_xlpm.first,DATE(_xlpm.yr,_xlpm.mn,1),
_xlpm.daysInMonth,DAY(EOMONTH(_xlpm.first,0)),
TEXT(_xlpm.first+_xlfn.SEQUENCE(_xlpm.daysInMonth)-1,"dddd, mmmm d, yyyy")
),
"")</f>
        <v>Thursday, August 1, 2024</v>
      </c>
      <c r="B7" s="38"/>
      <c r="C7" s="39"/>
      <c r="D7" s="39"/>
      <c r="E7" s="39"/>
      <c r="F7" s="39"/>
      <c r="G7" s="39"/>
      <c r="H7" s="39"/>
      <c r="I7" s="39"/>
      <c r="J7" s="40"/>
    </row>
    <row r="8" spans="1:28" x14ac:dyDescent="0.25">
      <c r="A8" s="43" t="str">
        <v>Friday, August 2, 2024</v>
      </c>
      <c r="B8" s="38"/>
      <c r="C8" s="39"/>
      <c r="D8" s="39"/>
      <c r="E8" s="39"/>
      <c r="F8" s="39"/>
      <c r="G8" s="39"/>
      <c r="H8" s="39"/>
      <c r="I8" s="39"/>
      <c r="J8" s="40"/>
    </row>
    <row r="9" spans="1:28" x14ac:dyDescent="0.25">
      <c r="A9" s="43" t="str">
        <v>Saturday, August 3, 2024</v>
      </c>
      <c r="B9" s="38"/>
      <c r="C9" s="39"/>
      <c r="D9" s="39"/>
      <c r="E9" s="39"/>
      <c r="F9" s="39"/>
      <c r="G9" s="39"/>
      <c r="H9" s="39"/>
      <c r="I9" s="39"/>
      <c r="J9" s="40"/>
    </row>
    <row r="10" spans="1:28" x14ac:dyDescent="0.25">
      <c r="A10" s="43" t="str">
        <v>Sunday, August 4, 2024</v>
      </c>
      <c r="B10" s="38"/>
      <c r="C10" s="39"/>
      <c r="D10" s="39"/>
      <c r="E10" s="39"/>
      <c r="F10" s="39"/>
      <c r="G10" s="39"/>
      <c r="H10" s="39"/>
      <c r="I10" s="39"/>
      <c r="J10" s="40"/>
    </row>
    <row r="11" spans="1:28" x14ac:dyDescent="0.25">
      <c r="A11" s="43" t="str">
        <v>Monday, August 5, 2024</v>
      </c>
      <c r="B11" s="38"/>
      <c r="C11" s="39"/>
      <c r="D11" s="39"/>
      <c r="E11" s="39"/>
      <c r="F11" s="39"/>
      <c r="G11" s="39"/>
      <c r="H11" s="39"/>
      <c r="I11" s="39"/>
      <c r="J11" s="40"/>
    </row>
    <row r="12" spans="1:28" x14ac:dyDescent="0.25">
      <c r="A12" s="43" t="str">
        <v>Tuesday, August 6, 2024</v>
      </c>
      <c r="B12" s="38"/>
      <c r="C12" s="39"/>
      <c r="D12" s="39"/>
      <c r="E12" s="39"/>
      <c r="F12" s="39"/>
      <c r="G12" s="39"/>
      <c r="H12" s="39"/>
      <c r="I12" s="39"/>
      <c r="J12" s="40"/>
    </row>
    <row r="13" spans="1:28" x14ac:dyDescent="0.25">
      <c r="A13" s="43" t="str">
        <v>Wednesday, August 7, 2024</v>
      </c>
      <c r="B13" s="38"/>
      <c r="C13" s="39"/>
      <c r="D13" s="39"/>
      <c r="E13" s="39"/>
      <c r="F13" s="39"/>
      <c r="G13" s="39"/>
      <c r="H13" s="39"/>
      <c r="I13" s="39"/>
      <c r="J13" s="40"/>
    </row>
    <row r="14" spans="1:28" x14ac:dyDescent="0.25">
      <c r="A14" s="43" t="str">
        <v>Thursday, August 8, 2024</v>
      </c>
      <c r="B14" s="38"/>
      <c r="C14" s="39"/>
      <c r="D14" s="39"/>
      <c r="E14" s="39"/>
      <c r="F14" s="39"/>
      <c r="G14" s="39"/>
      <c r="H14" s="39"/>
      <c r="I14" s="39"/>
      <c r="J14" s="40"/>
    </row>
    <row r="15" spans="1:28" x14ac:dyDescent="0.25">
      <c r="A15" s="43" t="str">
        <v>Friday, August 9, 2024</v>
      </c>
      <c r="B15" s="38"/>
      <c r="C15" s="39"/>
      <c r="D15" s="39"/>
      <c r="E15" s="39"/>
      <c r="F15" s="39"/>
      <c r="G15" s="39"/>
      <c r="H15" s="39"/>
      <c r="I15" s="39"/>
      <c r="J15" s="40"/>
    </row>
    <row r="16" spans="1:28" x14ac:dyDescent="0.25">
      <c r="A16" s="43" t="str">
        <v>Saturday, August 10, 2024</v>
      </c>
      <c r="B16" s="38"/>
      <c r="C16" s="39"/>
      <c r="D16" s="39"/>
      <c r="E16" s="39"/>
      <c r="F16" s="39"/>
      <c r="G16" s="39"/>
      <c r="H16" s="39"/>
      <c r="I16" s="39"/>
      <c r="J16" s="40"/>
    </row>
    <row r="17" spans="1:10" x14ac:dyDescent="0.25">
      <c r="A17" s="43" t="str">
        <v>Sunday, August 11, 2024</v>
      </c>
      <c r="B17" s="38"/>
      <c r="C17" s="39"/>
      <c r="D17" s="39"/>
      <c r="E17" s="39"/>
      <c r="F17" s="39"/>
      <c r="G17" s="39"/>
      <c r="H17" s="39"/>
      <c r="I17" s="39"/>
      <c r="J17" s="40"/>
    </row>
    <row r="18" spans="1:10" x14ac:dyDescent="0.25">
      <c r="A18" s="43" t="str">
        <v>Monday, August 12, 2024</v>
      </c>
      <c r="B18" s="38"/>
      <c r="C18" s="39"/>
      <c r="D18" s="39"/>
      <c r="E18" s="39"/>
      <c r="F18" s="39"/>
      <c r="G18" s="39"/>
      <c r="H18" s="39"/>
      <c r="I18" s="39"/>
      <c r="J18" s="40"/>
    </row>
    <row r="19" spans="1:10" x14ac:dyDescent="0.25">
      <c r="A19" s="43" t="str">
        <v>Tuesday, August 13, 2024</v>
      </c>
      <c r="B19" s="38"/>
      <c r="C19" s="39"/>
      <c r="D19" s="39"/>
      <c r="E19" s="39"/>
      <c r="F19" s="39"/>
      <c r="G19" s="39"/>
      <c r="H19" s="39"/>
      <c r="I19" s="39"/>
      <c r="J19" s="40"/>
    </row>
    <row r="20" spans="1:10" x14ac:dyDescent="0.25">
      <c r="A20" s="43" t="str">
        <v>Wednesday, August 14, 2024</v>
      </c>
      <c r="B20" s="38"/>
      <c r="C20" s="39"/>
      <c r="D20" s="39"/>
      <c r="E20" s="39"/>
      <c r="F20" s="39"/>
      <c r="G20" s="39"/>
      <c r="H20" s="39"/>
      <c r="I20" s="39"/>
      <c r="J20" s="40"/>
    </row>
    <row r="21" spans="1:10" x14ac:dyDescent="0.25">
      <c r="A21" s="43" t="str">
        <v>Thursday, August 15, 2024</v>
      </c>
      <c r="B21" s="38"/>
      <c r="C21" s="39"/>
      <c r="D21" s="39"/>
      <c r="E21" s="39"/>
      <c r="F21" s="39"/>
      <c r="G21" s="39"/>
      <c r="H21" s="39"/>
      <c r="I21" s="39"/>
      <c r="J21" s="40"/>
    </row>
    <row r="22" spans="1:10" x14ac:dyDescent="0.25">
      <c r="A22" s="43" t="str">
        <v>Friday, August 16, 2024</v>
      </c>
      <c r="B22" s="38"/>
      <c r="C22" s="39"/>
      <c r="D22" s="39"/>
      <c r="E22" s="39"/>
      <c r="F22" s="39"/>
      <c r="G22" s="39"/>
      <c r="H22" s="39"/>
      <c r="I22" s="39"/>
      <c r="J22" s="40"/>
    </row>
    <row r="23" spans="1:10" x14ac:dyDescent="0.25">
      <c r="A23" s="43" t="str">
        <v>Saturday, August 17, 2024</v>
      </c>
      <c r="B23" s="38"/>
      <c r="C23" s="39"/>
      <c r="D23" s="39"/>
      <c r="E23" s="39"/>
      <c r="F23" s="39"/>
      <c r="G23" s="39"/>
      <c r="H23" s="39"/>
      <c r="I23" s="39"/>
      <c r="J23" s="40"/>
    </row>
    <row r="24" spans="1:10" x14ac:dyDescent="0.25">
      <c r="A24" s="43" t="str">
        <v>Sunday, August 18, 2024</v>
      </c>
      <c r="B24" s="38"/>
      <c r="C24" s="39"/>
      <c r="D24" s="39"/>
      <c r="E24" s="39"/>
      <c r="F24" s="39"/>
      <c r="G24" s="39"/>
      <c r="H24" s="39"/>
      <c r="I24" s="39"/>
      <c r="J24" s="40"/>
    </row>
    <row r="25" spans="1:10" x14ac:dyDescent="0.25">
      <c r="A25" s="43" t="str">
        <v>Monday, August 19, 2024</v>
      </c>
      <c r="B25" s="38"/>
      <c r="C25" s="39"/>
      <c r="D25" s="39"/>
      <c r="E25" s="39"/>
      <c r="F25" s="39"/>
      <c r="G25" s="39"/>
      <c r="H25" s="39"/>
      <c r="I25" s="39"/>
      <c r="J25" s="40"/>
    </row>
    <row r="26" spans="1:10" x14ac:dyDescent="0.25">
      <c r="A26" s="43" t="str">
        <v>Tuesday, August 20, 2024</v>
      </c>
      <c r="B26" s="38"/>
      <c r="C26" s="39"/>
      <c r="D26" s="39"/>
      <c r="E26" s="39"/>
      <c r="F26" s="39"/>
      <c r="G26" s="39"/>
      <c r="H26" s="39"/>
      <c r="I26" s="39"/>
      <c r="J26" s="40"/>
    </row>
    <row r="27" spans="1:10" x14ac:dyDescent="0.25">
      <c r="A27" s="43" t="str">
        <v>Wednesday, August 21, 2024</v>
      </c>
      <c r="B27" s="38"/>
      <c r="C27" s="39"/>
      <c r="D27" s="39"/>
      <c r="E27" s="39"/>
      <c r="F27" s="39"/>
      <c r="G27" s="39"/>
      <c r="H27" s="39"/>
      <c r="I27" s="39"/>
      <c r="J27" s="40"/>
    </row>
    <row r="28" spans="1:10" x14ac:dyDescent="0.25">
      <c r="A28" s="43" t="str">
        <v>Thursday, August 22, 2024</v>
      </c>
      <c r="B28" s="38"/>
      <c r="C28" s="39"/>
      <c r="D28" s="39"/>
      <c r="E28" s="39"/>
      <c r="F28" s="39"/>
      <c r="G28" s="39"/>
      <c r="H28" s="39"/>
      <c r="I28" s="39"/>
      <c r="J28" s="40"/>
    </row>
    <row r="29" spans="1:10" x14ac:dyDescent="0.25">
      <c r="A29" s="43" t="str">
        <v>Friday, August 23, 2024</v>
      </c>
      <c r="B29" s="38"/>
      <c r="C29" s="39"/>
      <c r="D29" s="39"/>
      <c r="E29" s="39"/>
      <c r="F29" s="39"/>
      <c r="G29" s="39"/>
      <c r="H29" s="39"/>
      <c r="I29" s="39"/>
      <c r="J29" s="40"/>
    </row>
    <row r="30" spans="1:10" x14ac:dyDescent="0.25">
      <c r="A30" s="43" t="str">
        <v>Saturday, August 24, 2024</v>
      </c>
      <c r="B30" s="38"/>
      <c r="C30" s="39"/>
      <c r="D30" s="39"/>
      <c r="E30" s="39"/>
      <c r="F30" s="39"/>
      <c r="G30" s="39"/>
      <c r="H30" s="39"/>
      <c r="I30" s="39"/>
      <c r="J30" s="40"/>
    </row>
    <row r="31" spans="1:10" x14ac:dyDescent="0.25">
      <c r="A31" s="43" t="str">
        <v>Sunday, August 25, 2024</v>
      </c>
      <c r="B31" s="38"/>
      <c r="C31" s="39"/>
      <c r="D31" s="39"/>
      <c r="E31" s="39"/>
      <c r="F31" s="39"/>
      <c r="G31" s="39"/>
      <c r="H31" s="39"/>
      <c r="I31" s="39"/>
      <c r="J31" s="40"/>
    </row>
    <row r="32" spans="1:10" x14ac:dyDescent="0.25">
      <c r="A32" s="43" t="str">
        <v>Monday, August 26, 2024</v>
      </c>
      <c r="B32" s="38"/>
      <c r="C32" s="39"/>
      <c r="D32" s="39"/>
      <c r="E32" s="39"/>
      <c r="F32" s="39"/>
      <c r="G32" s="39"/>
      <c r="H32" s="39"/>
      <c r="I32" s="39"/>
      <c r="J32" s="40"/>
    </row>
    <row r="33" spans="1:10" x14ac:dyDescent="0.25">
      <c r="A33" s="43" t="str">
        <v>Tuesday, August 27, 2024</v>
      </c>
      <c r="B33" s="38"/>
      <c r="C33" s="39"/>
      <c r="D33" s="39"/>
      <c r="E33" s="39"/>
      <c r="F33" s="39"/>
      <c r="G33" s="39"/>
      <c r="H33" s="39"/>
      <c r="I33" s="39"/>
      <c r="J33" s="40"/>
    </row>
    <row r="34" spans="1:10" x14ac:dyDescent="0.25">
      <c r="A34" s="43" t="str">
        <v>Wednesday, August 28, 2024</v>
      </c>
      <c r="B34" s="38"/>
      <c r="C34" s="39"/>
      <c r="D34" s="39"/>
      <c r="E34" s="39"/>
      <c r="F34" s="39"/>
      <c r="G34" s="39"/>
      <c r="H34" s="39"/>
      <c r="I34" s="39"/>
      <c r="J34" s="40"/>
    </row>
    <row r="35" spans="1:10" x14ac:dyDescent="0.25">
      <c r="A35" s="43" t="str">
        <v>Thursday, August 29, 2024</v>
      </c>
      <c r="B35" s="38"/>
      <c r="C35" s="39"/>
      <c r="D35" s="39"/>
      <c r="E35" s="39"/>
      <c r="F35" s="39"/>
      <c r="G35" s="39"/>
      <c r="H35" s="39"/>
      <c r="I35" s="39"/>
      <c r="J35" s="40"/>
    </row>
    <row r="36" spans="1:10" x14ac:dyDescent="0.25">
      <c r="A36" s="43" t="str">
        <v>Friday, August 30, 2024</v>
      </c>
      <c r="B36" s="38"/>
      <c r="C36" s="39"/>
      <c r="D36" s="39"/>
      <c r="E36" s="39"/>
      <c r="F36" s="39"/>
      <c r="G36" s="39"/>
      <c r="H36" s="39"/>
      <c r="I36" s="39"/>
      <c r="J36" s="40"/>
    </row>
    <row r="37" spans="1:10" x14ac:dyDescent="0.25">
      <c r="A37" s="43" t="str">
        <v>Saturday, August 31, 2024</v>
      </c>
      <c r="B37" s="38"/>
      <c r="C37" s="39"/>
      <c r="D37" s="39"/>
      <c r="E37" s="39"/>
      <c r="F37" s="39"/>
      <c r="G37" s="39"/>
      <c r="H37" s="39"/>
      <c r="I37" s="39"/>
      <c r="J37" s="40"/>
    </row>
    <row r="38" spans="1:10" x14ac:dyDescent="0.25">
      <c r="A38" s="25"/>
      <c r="B38" s="27"/>
      <c r="C38" s="26"/>
      <c r="D38" s="26"/>
      <c r="E38" s="26"/>
      <c r="F38" s="26"/>
      <c r="G38" s="26"/>
      <c r="H38" s="26"/>
      <c r="I38" s="26"/>
      <c r="J38" s="26"/>
    </row>
    <row r="39" spans="1:10" ht="13" x14ac:dyDescent="0.3">
      <c r="A39" s="19"/>
      <c r="B39" s="28"/>
      <c r="C39" s="14"/>
      <c r="D39" s="14"/>
      <c r="E39" s="14"/>
      <c r="F39" s="29"/>
      <c r="G39" s="14"/>
      <c r="H39" s="14"/>
      <c r="I39" s="14"/>
      <c r="J39" s="2"/>
    </row>
    <row r="40" spans="1:10" ht="13" x14ac:dyDescent="0.3">
      <c r="A40" s="30"/>
      <c r="B40" s="8" t="str">
        <f>C4&amp;" "&amp;F4&amp;" HOURS"</f>
        <v>August 2024 HOURS</v>
      </c>
      <c r="C40" s="15">
        <f t="shared" ref="C40:I40" si="0">SUM(C7:C39)</f>
        <v>0</v>
      </c>
      <c r="D40" s="7">
        <f t="shared" si="0"/>
        <v>0</v>
      </c>
      <c r="E40" s="15">
        <f t="shared" si="0"/>
        <v>0</v>
      </c>
      <c r="F40" s="7">
        <f t="shared" si="0"/>
        <v>0</v>
      </c>
      <c r="G40" s="15">
        <f t="shared" si="0"/>
        <v>0</v>
      </c>
      <c r="H40" s="7">
        <f t="shared" si="0"/>
        <v>0</v>
      </c>
      <c r="I40" s="7">
        <f t="shared" si="0"/>
        <v>0</v>
      </c>
      <c r="J40" s="24"/>
    </row>
    <row r="44" spans="1:10" x14ac:dyDescent="0.25">
      <c r="A44" t="str">
        <f>IFERROR(IF(A45="","","X"),"")</f>
        <v/>
      </c>
      <c r="F44" s="52" t="str">
        <f>IFERROR(IF(F45="","","X"),"")</f>
        <v/>
      </c>
      <c r="G44" s="52" t="str">
        <f>IFERROR(IF(G45="","","X"),"")</f>
        <v/>
      </c>
      <c r="H44" s="52" t="str">
        <f>IFERROR(IF(H45="","","X"),"")</f>
        <v/>
      </c>
      <c r="I44" s="52" t="str">
        <f>IFERROR(IF(I45="","","X"),"")</f>
        <v/>
      </c>
    </row>
    <row r="45" spans="1:10" x14ac:dyDescent="0.25">
      <c r="A45" s="33" t="str">
        <f>IFERROR(IF(AB2&gt;0,AA2,""),"")</f>
        <v/>
      </c>
      <c r="F45" s="51" t="str">
        <f>IFERROR(IF(AB$2&gt;1,AA3,""),"")</f>
        <v/>
      </c>
      <c r="G45" s="51"/>
      <c r="H45" s="51"/>
      <c r="I45" s="51"/>
    </row>
    <row r="46" spans="1:10" x14ac:dyDescent="0.25">
      <c r="A46" s="33" t="str">
        <f>IFERROR(VLOOKUP(A45,Sheet1!$D$2:$F$52,3,TRUE),"")</f>
        <v/>
      </c>
      <c r="F46" s="51" t="str">
        <f>IFERROR(VLOOKUP(F45,Sheet1!$D$2:$F$52,3,TRUE),"")</f>
        <v/>
      </c>
      <c r="G46" s="51" t="str">
        <f>IFERROR(VLOOKUP(G45,Sheet1!$D$2:$F$52,3,TRUE),"")</f>
        <v/>
      </c>
      <c r="H46" s="51" t="str">
        <f>IFERROR(VLOOKUP(H45,Sheet1!$D$2:$F$52,3,TRUE),"")</f>
        <v/>
      </c>
      <c r="I46" s="51" t="str">
        <f>IFERROR(VLOOKUP(I45,Sheet1!$D$2:$F$52,3,TRUE),"")</f>
        <v/>
      </c>
    </row>
    <row r="47" spans="1:10" x14ac:dyDescent="0.25">
      <c r="A47" t="str">
        <f>IFERROR(VLOOKUP(A45,Sheet1!$D$2:$F$52,2,TRUE),"")</f>
        <v/>
      </c>
      <c r="F47" s="50" t="str">
        <f>IFERROR(VLOOKUP(F45,Sheet1!$D$2:$F$52,2,TRUE),"")</f>
        <v/>
      </c>
      <c r="G47" s="50" t="str">
        <f>IFERROR(VLOOKUP(G45,Sheet1!$D$2:$F$52,2,TRUE),"")</f>
        <v/>
      </c>
      <c r="H47" s="50" t="str">
        <f>IFERROR(VLOOKUP(H45,Sheet1!$D$2:$F$52,2,TRUE),"")</f>
        <v/>
      </c>
      <c r="I47" s="50" t="str">
        <f>IFERROR(VLOOKUP(I45,Sheet1!$D$2:$F$52,2,TRUE),"")</f>
        <v/>
      </c>
    </row>
    <row r="50" spans="1:9" x14ac:dyDescent="0.25">
      <c r="A50" t="str">
        <f>IFERROR(IF(A51="","","X"),"")</f>
        <v/>
      </c>
      <c r="F50" s="50" t="str">
        <f>IFERROR(IF(F51="","","X"),"")</f>
        <v/>
      </c>
      <c r="G50" s="50"/>
      <c r="H50" s="50"/>
      <c r="I50" s="50"/>
    </row>
    <row r="51" spans="1:9" x14ac:dyDescent="0.25">
      <c r="A51" s="33" t="str">
        <f>IFERROR(IF(AB2&gt;2,AA4,""),"")</f>
        <v/>
      </c>
      <c r="F51" s="51" t="str">
        <f>IFERROR(IF(AB2&gt;3,AA5,""),"")</f>
        <v/>
      </c>
      <c r="G51" s="51"/>
      <c r="H51" s="51"/>
      <c r="I51" s="51"/>
    </row>
    <row r="52" spans="1:9" x14ac:dyDescent="0.25">
      <c r="A52" s="33" t="str">
        <f>IFERROR(VLOOKUP(A51,Sheet1!$D$2:$F$52,3,TRUE),"")</f>
        <v/>
      </c>
      <c r="F52" s="51" t="str">
        <f>IFERROR(VLOOKUP(F51,Sheet1!$D$2:$F$52,3,TRUE),"")</f>
        <v/>
      </c>
      <c r="G52" s="51"/>
      <c r="H52" s="51"/>
      <c r="I52" s="51"/>
    </row>
    <row r="53" spans="1:9" x14ac:dyDescent="0.25">
      <c r="A53" t="str">
        <f>IFERROR(VLOOKUP(A51,Sheet1!$D$2:$F$52,2,TRUE),"")</f>
        <v/>
      </c>
      <c r="F53" s="50" t="str">
        <f>IFERROR(VLOOKUP(F51,Sheet1!$D$2:$F$52,2,TRUE),"")</f>
        <v/>
      </c>
      <c r="G53" s="50"/>
      <c r="H53" s="50"/>
      <c r="I53" s="50"/>
    </row>
    <row r="56" spans="1:9" x14ac:dyDescent="0.25">
      <c r="A56" t="str">
        <f>IFERROR(IF(A57="","","X"),"")</f>
        <v/>
      </c>
      <c r="F56" s="50" t="str">
        <f>IFERROR(IF(F57="","","X"),"")</f>
        <v/>
      </c>
      <c r="G56" s="50"/>
      <c r="H56" s="50"/>
      <c r="I56" s="50"/>
    </row>
    <row r="57" spans="1:9" x14ac:dyDescent="0.25">
      <c r="A57" t="str">
        <f>IFERROR(IF(AB2&gt;4,AA6,""),"")</f>
        <v/>
      </c>
      <c r="F57" s="51" t="str">
        <f>IFERROR(IF(AB2&gt;5,AA7,""),"")</f>
        <v/>
      </c>
      <c r="G57" s="51"/>
      <c r="H57" s="51"/>
      <c r="I57" s="51"/>
    </row>
    <row r="58" spans="1:9" x14ac:dyDescent="0.25">
      <c r="A58" t="str">
        <f>IFERROR(VLOOKUP(A57,Sheet1!$D$2:$F$52,3,TRUE),"")</f>
        <v/>
      </c>
      <c r="F58" s="51" t="str">
        <f>IFERROR(VLOOKUP(F57,Sheet1!$D$2:$F$52,3,TRUE),"")</f>
        <v/>
      </c>
      <c r="G58" s="51"/>
      <c r="H58" s="51"/>
      <c r="I58" s="51"/>
    </row>
    <row r="59" spans="1:9" x14ac:dyDescent="0.25">
      <c r="A59" t="str">
        <f>IFERROR(VLOOKUP(A57,Sheet1!$D$2:$F$52,2,TRUE),"")</f>
        <v/>
      </c>
      <c r="F59" s="50" t="str">
        <f>IFERROR(VLOOKUP(F57,Sheet1!$D$2:$F$52,2,TRUE),"")</f>
        <v/>
      </c>
      <c r="G59" s="50"/>
      <c r="H59" s="50"/>
      <c r="I59" s="50"/>
    </row>
  </sheetData>
  <sheetProtection algorithmName="SHA-512" hashValue="CEEybJUQzWCqJtnzxU6HGDGKn5RFM792YdKuFWJZewzWE3qsQd5btI4BdF9MlW5+ppxUeTnCacKOkzPcbS6mLA==" saltValue="BUgJEvzLSZtJFFoHmemucg==" spinCount="100000" sheet="1" objects="1" scenarios="1"/>
  <mergeCells count="17">
    <mergeCell ref="F53:I53"/>
    <mergeCell ref="F56:I56"/>
    <mergeCell ref="F57:I57"/>
    <mergeCell ref="F58:I58"/>
    <mergeCell ref="F59:I59"/>
    <mergeCell ref="F52:I52"/>
    <mergeCell ref="A1:E1"/>
    <mergeCell ref="F1:J1"/>
    <mergeCell ref="A3:J3"/>
    <mergeCell ref="C4:E4"/>
    <mergeCell ref="F4:G4"/>
    <mergeCell ref="F44:I44"/>
    <mergeCell ref="F45:I45"/>
    <mergeCell ref="F46:I46"/>
    <mergeCell ref="F47:I47"/>
    <mergeCell ref="F50:I50"/>
    <mergeCell ref="F51:I51"/>
  </mergeCells>
  <conditionalFormatting sqref="A44:B44">
    <cfRule type="expression" dxfId="29" priority="6" stopIfTrue="1">
      <formula>$A$45&lt;&gt;""</formula>
    </cfRule>
  </conditionalFormatting>
  <conditionalFormatting sqref="A50:B50">
    <cfRule type="expression" dxfId="28" priority="4" stopIfTrue="1">
      <formula>$A$51&lt;&gt;""</formula>
    </cfRule>
  </conditionalFormatting>
  <conditionalFormatting sqref="A56:B56">
    <cfRule type="expression" dxfId="27" priority="2" stopIfTrue="1">
      <formula>$A$57&lt;&gt;""</formula>
    </cfRule>
  </conditionalFormatting>
  <conditionalFormatting sqref="F44:J44">
    <cfRule type="expression" dxfId="26" priority="5" stopIfTrue="1">
      <formula>$F$45&lt;&gt;""</formula>
    </cfRule>
  </conditionalFormatting>
  <conditionalFormatting sqref="F50:J50">
    <cfRule type="expression" dxfId="25" priority="3" stopIfTrue="1">
      <formula>$F$51&lt;&gt;""</formula>
    </cfRule>
  </conditionalFormatting>
  <conditionalFormatting sqref="F56:J56">
    <cfRule type="expression" dxfId="24" priority="1" stopIfTrue="1">
      <formula>$F$57&lt;&gt;""</formula>
    </cfRule>
  </conditionalFormatting>
  <pageMargins left="0.5" right="0.5" top="0.5" bottom="0.5" header="0.5" footer="0.5"/>
  <pageSetup scale="75" orientation="portrait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9E8F5E3-31A3-48B0-A1B0-5054D193D615}">
          <x14:formula1>
            <xm:f>Sheet1!$D:$D</xm:f>
          </x14:formula1>
          <xm:sqref>J7:J37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C0744-3EF0-4562-84E3-54D9FF9AEAEC}">
  <sheetPr>
    <pageSetUpPr fitToPage="1"/>
  </sheetPr>
  <dimension ref="A1:AB58"/>
  <sheetViews>
    <sheetView topLeftCell="A2" zoomScaleNormal="100" workbookViewId="0">
      <selection activeCell="H6" sqref="H6"/>
    </sheetView>
  </sheetViews>
  <sheetFormatPr defaultColWidth="8.81640625" defaultRowHeight="12.5" x14ac:dyDescent="0.25"/>
  <cols>
    <col min="1" max="1" width="28.1796875" bestFit="1" customWidth="1"/>
    <col min="2" max="2" width="24" customWidth="1"/>
    <col min="3" max="3" width="7.1796875" style="2" customWidth="1"/>
    <col min="4" max="4" width="6.1796875" style="2" customWidth="1"/>
    <col min="5" max="5" width="6.54296875" style="2" customWidth="1"/>
    <col min="6" max="6" width="6.54296875" customWidth="1"/>
    <col min="7" max="8" width="6.81640625" style="2" customWidth="1"/>
    <col min="9" max="9" width="7.453125" style="2" customWidth="1"/>
    <col min="10" max="10" width="32.453125" customWidth="1"/>
    <col min="27" max="27" width="15.1796875" bestFit="1" customWidth="1"/>
  </cols>
  <sheetData>
    <row r="1" spans="1:28" ht="72.75" customHeight="1" thickBot="1" x14ac:dyDescent="0.4">
      <c r="A1" s="44"/>
      <c r="B1" s="44"/>
      <c r="C1" s="44"/>
      <c r="D1" s="44"/>
      <c r="E1" s="44"/>
      <c r="F1" s="45" t="s">
        <v>139</v>
      </c>
      <c r="G1" s="46"/>
      <c r="H1" s="46"/>
      <c r="I1" s="46"/>
      <c r="J1" s="46"/>
    </row>
    <row r="2" spans="1:28" ht="15.5" x14ac:dyDescent="0.35">
      <c r="B2" s="5"/>
      <c r="C2" s="13"/>
      <c r="D2" s="13"/>
      <c r="E2" s="13"/>
      <c r="F2" s="5"/>
      <c r="G2" s="13"/>
      <c r="H2" s="13"/>
      <c r="I2" s="13"/>
      <c r="J2" s="5"/>
      <c r="AA2" t="str" cm="1">
        <f t="array" ref="AA2">IFERROR(_xlfn.UNIQUE(_xlfn._xlws.FILTER(J7:J36,J7:J36&lt;&gt;"")),"")</f>
        <v/>
      </c>
      <c r="AB2">
        <f>COUNTA(AA:AA)</f>
        <v>1</v>
      </c>
    </row>
    <row r="3" spans="1:28" ht="15.5" x14ac:dyDescent="0.35">
      <c r="A3" s="47" t="s">
        <v>12</v>
      </c>
      <c r="B3" s="47"/>
      <c r="C3" s="47"/>
      <c r="D3" s="47"/>
      <c r="E3" s="47"/>
      <c r="F3" s="47"/>
      <c r="G3" s="47"/>
      <c r="H3" s="47"/>
      <c r="I3" s="47"/>
      <c r="J3" s="47"/>
    </row>
    <row r="4" spans="1:28" ht="20.25" customHeight="1" x14ac:dyDescent="0.3">
      <c r="A4" s="1" t="s">
        <v>0</v>
      </c>
      <c r="B4" s="4" t="str">
        <f>IF(Jan!B4="","",Jan!B4)</f>
        <v>Your Name</v>
      </c>
      <c r="C4" s="48" t="s">
        <v>21</v>
      </c>
      <c r="D4" s="48"/>
      <c r="E4" s="48"/>
      <c r="F4" s="53">
        <f>Jan!F4</f>
        <v>2024</v>
      </c>
      <c r="G4" s="54"/>
    </row>
    <row r="5" spans="1:28" ht="21" customHeight="1" x14ac:dyDescent="0.4">
      <c r="A5" s="3"/>
      <c r="B5" s="4"/>
      <c r="C5" s="14"/>
      <c r="D5" s="14"/>
      <c r="E5" s="16" t="s">
        <v>7</v>
      </c>
      <c r="F5" s="4"/>
      <c r="G5" s="14"/>
      <c r="H5" s="14"/>
      <c r="I5" s="14"/>
      <c r="J5" s="3" t="s">
        <v>26</v>
      </c>
      <c r="K5" s="1"/>
      <c r="L5" s="1"/>
    </row>
    <row r="6" spans="1:28" s="2" customFormat="1" ht="13.5" thickBot="1" x14ac:dyDescent="0.35">
      <c r="A6" s="9" t="s">
        <v>1</v>
      </c>
      <c r="B6" s="10" t="s">
        <v>2</v>
      </c>
      <c r="C6" s="10" t="s">
        <v>3</v>
      </c>
      <c r="D6" s="10" t="s">
        <v>4</v>
      </c>
      <c r="E6" s="10" t="s">
        <v>140</v>
      </c>
      <c r="F6" s="10" t="s">
        <v>5</v>
      </c>
      <c r="G6" s="10" t="s">
        <v>6</v>
      </c>
      <c r="H6" s="10" t="s">
        <v>143</v>
      </c>
      <c r="I6" s="10" t="s">
        <v>8</v>
      </c>
      <c r="J6" s="11"/>
    </row>
    <row r="7" spans="1:28" x14ac:dyDescent="0.25">
      <c r="A7" s="43" t="str" cm="1">
        <f t="array" ref="A7:A36">IFERROR(
_xlfn.LET(
_xlpm.yr,$F$4,
_xlpm.mn,IF(ISNUMBER($C$4),$C$4,MONTH(1&amp;$C$4)),
_xlpm.first,DATE(_xlpm.yr,_xlpm.mn,1),
_xlpm.daysInMonth,DAY(EOMONTH(_xlpm.first,0)),
TEXT(_xlpm.first+_xlfn.SEQUENCE(_xlpm.daysInMonth)-1,"dddd, mmmm d, yyyy")
),
"")</f>
        <v>Sunday, September 1, 2024</v>
      </c>
      <c r="B7" s="38"/>
      <c r="C7" s="39"/>
      <c r="D7" s="39"/>
      <c r="E7" s="39"/>
      <c r="F7" s="39"/>
      <c r="G7" s="39"/>
      <c r="H7" s="39"/>
      <c r="I7" s="39"/>
      <c r="J7" s="40"/>
    </row>
    <row r="8" spans="1:28" x14ac:dyDescent="0.25">
      <c r="A8" s="43" t="str">
        <v>Monday, September 2, 2024</v>
      </c>
      <c r="B8" s="38"/>
      <c r="C8" s="39"/>
      <c r="D8" s="39"/>
      <c r="E8" s="39"/>
      <c r="F8" s="39"/>
      <c r="G8" s="39"/>
      <c r="H8" s="39"/>
      <c r="I8" s="39"/>
      <c r="J8" s="40"/>
    </row>
    <row r="9" spans="1:28" x14ac:dyDescent="0.25">
      <c r="A9" s="43" t="str">
        <v>Tuesday, September 3, 2024</v>
      </c>
      <c r="B9" s="38"/>
      <c r="C9" s="39"/>
      <c r="D9" s="39"/>
      <c r="E9" s="39"/>
      <c r="F9" s="39"/>
      <c r="G9" s="39"/>
      <c r="H9" s="39"/>
      <c r="I9" s="39"/>
      <c r="J9" s="40"/>
    </row>
    <row r="10" spans="1:28" x14ac:dyDescent="0.25">
      <c r="A10" s="43" t="str">
        <v>Wednesday, September 4, 2024</v>
      </c>
      <c r="B10" s="38"/>
      <c r="C10" s="39"/>
      <c r="D10" s="39"/>
      <c r="E10" s="39"/>
      <c r="F10" s="39"/>
      <c r="G10" s="39"/>
      <c r="H10" s="39"/>
      <c r="I10" s="39"/>
      <c r="J10" s="40"/>
    </row>
    <row r="11" spans="1:28" x14ac:dyDescent="0.25">
      <c r="A11" s="43" t="str">
        <v>Thursday, September 5, 2024</v>
      </c>
      <c r="B11" s="38"/>
      <c r="C11" s="39"/>
      <c r="D11" s="39"/>
      <c r="E11" s="39"/>
      <c r="F11" s="39"/>
      <c r="G11" s="39"/>
      <c r="H11" s="39"/>
      <c r="I11" s="39"/>
      <c r="J11" s="40"/>
    </row>
    <row r="12" spans="1:28" x14ac:dyDescent="0.25">
      <c r="A12" s="43" t="str">
        <v>Friday, September 6, 2024</v>
      </c>
      <c r="B12" s="38"/>
      <c r="C12" s="39"/>
      <c r="D12" s="39"/>
      <c r="E12" s="39"/>
      <c r="F12" s="39"/>
      <c r="G12" s="39"/>
      <c r="H12" s="39"/>
      <c r="I12" s="39"/>
      <c r="J12" s="40"/>
    </row>
    <row r="13" spans="1:28" x14ac:dyDescent="0.25">
      <c r="A13" s="43" t="str">
        <v>Saturday, September 7, 2024</v>
      </c>
      <c r="B13" s="38"/>
      <c r="C13" s="39"/>
      <c r="D13" s="39"/>
      <c r="E13" s="39"/>
      <c r="F13" s="39"/>
      <c r="G13" s="39"/>
      <c r="H13" s="39"/>
      <c r="I13" s="39"/>
      <c r="J13" s="40"/>
    </row>
    <row r="14" spans="1:28" x14ac:dyDescent="0.25">
      <c r="A14" s="43" t="str">
        <v>Sunday, September 8, 2024</v>
      </c>
      <c r="B14" s="38"/>
      <c r="C14" s="39"/>
      <c r="D14" s="39"/>
      <c r="E14" s="39"/>
      <c r="F14" s="39"/>
      <c r="G14" s="39"/>
      <c r="H14" s="39"/>
      <c r="I14" s="39"/>
      <c r="J14" s="40"/>
    </row>
    <row r="15" spans="1:28" x14ac:dyDescent="0.25">
      <c r="A15" s="43" t="str">
        <v>Monday, September 9, 2024</v>
      </c>
      <c r="B15" s="38"/>
      <c r="C15" s="39"/>
      <c r="D15" s="39"/>
      <c r="E15" s="39"/>
      <c r="F15" s="39"/>
      <c r="G15" s="39"/>
      <c r="H15" s="39"/>
      <c r="I15" s="39"/>
      <c r="J15" s="40"/>
    </row>
    <row r="16" spans="1:28" x14ac:dyDescent="0.25">
      <c r="A16" s="43" t="str">
        <v>Tuesday, September 10, 2024</v>
      </c>
      <c r="B16" s="38"/>
      <c r="C16" s="39"/>
      <c r="D16" s="39"/>
      <c r="E16" s="39"/>
      <c r="F16" s="39"/>
      <c r="G16" s="39"/>
      <c r="H16" s="39"/>
      <c r="I16" s="39"/>
      <c r="J16" s="40"/>
    </row>
    <row r="17" spans="1:10" x14ac:dyDescent="0.25">
      <c r="A17" s="43" t="str">
        <v>Wednesday, September 11, 2024</v>
      </c>
      <c r="B17" s="38"/>
      <c r="C17" s="39"/>
      <c r="D17" s="39"/>
      <c r="E17" s="39"/>
      <c r="F17" s="39"/>
      <c r="G17" s="39"/>
      <c r="H17" s="39"/>
      <c r="I17" s="39"/>
      <c r="J17" s="40"/>
    </row>
    <row r="18" spans="1:10" x14ac:dyDescent="0.25">
      <c r="A18" s="43" t="str">
        <v>Thursday, September 12, 2024</v>
      </c>
      <c r="B18" s="38"/>
      <c r="C18" s="39"/>
      <c r="D18" s="39"/>
      <c r="E18" s="39"/>
      <c r="F18" s="39"/>
      <c r="G18" s="39"/>
      <c r="H18" s="39"/>
      <c r="I18" s="39"/>
      <c r="J18" s="40"/>
    </row>
    <row r="19" spans="1:10" x14ac:dyDescent="0.25">
      <c r="A19" s="43" t="str">
        <v>Friday, September 13, 2024</v>
      </c>
      <c r="B19" s="38"/>
      <c r="C19" s="39"/>
      <c r="D19" s="39"/>
      <c r="E19" s="39"/>
      <c r="F19" s="39"/>
      <c r="G19" s="39"/>
      <c r="H19" s="39"/>
      <c r="I19" s="39"/>
      <c r="J19" s="40"/>
    </row>
    <row r="20" spans="1:10" x14ac:dyDescent="0.25">
      <c r="A20" s="43" t="str">
        <v>Saturday, September 14, 2024</v>
      </c>
      <c r="B20" s="38"/>
      <c r="C20" s="39"/>
      <c r="D20" s="39"/>
      <c r="E20" s="39"/>
      <c r="F20" s="39"/>
      <c r="G20" s="39"/>
      <c r="H20" s="39"/>
      <c r="I20" s="39"/>
      <c r="J20" s="40"/>
    </row>
    <row r="21" spans="1:10" x14ac:dyDescent="0.25">
      <c r="A21" s="43" t="str">
        <v>Sunday, September 15, 2024</v>
      </c>
      <c r="B21" s="38"/>
      <c r="C21" s="39"/>
      <c r="D21" s="39"/>
      <c r="E21" s="39"/>
      <c r="F21" s="39"/>
      <c r="G21" s="39"/>
      <c r="H21" s="39"/>
      <c r="I21" s="39"/>
      <c r="J21" s="40"/>
    </row>
    <row r="22" spans="1:10" x14ac:dyDescent="0.25">
      <c r="A22" s="43" t="str">
        <v>Monday, September 16, 2024</v>
      </c>
      <c r="B22" s="38"/>
      <c r="C22" s="39"/>
      <c r="D22" s="39"/>
      <c r="E22" s="39"/>
      <c r="F22" s="39"/>
      <c r="G22" s="39"/>
      <c r="H22" s="39"/>
      <c r="I22" s="39"/>
      <c r="J22" s="40"/>
    </row>
    <row r="23" spans="1:10" x14ac:dyDescent="0.25">
      <c r="A23" s="43" t="str">
        <v>Tuesday, September 17, 2024</v>
      </c>
      <c r="B23" s="38"/>
      <c r="C23" s="39"/>
      <c r="D23" s="39"/>
      <c r="E23" s="39"/>
      <c r="F23" s="39"/>
      <c r="G23" s="39"/>
      <c r="H23" s="39"/>
      <c r="I23" s="39"/>
      <c r="J23" s="40"/>
    </row>
    <row r="24" spans="1:10" x14ac:dyDescent="0.25">
      <c r="A24" s="43" t="str">
        <v>Wednesday, September 18, 2024</v>
      </c>
      <c r="B24" s="38"/>
      <c r="C24" s="39"/>
      <c r="D24" s="39"/>
      <c r="E24" s="39"/>
      <c r="F24" s="39"/>
      <c r="G24" s="39"/>
      <c r="H24" s="39"/>
      <c r="I24" s="39"/>
      <c r="J24" s="40"/>
    </row>
    <row r="25" spans="1:10" x14ac:dyDescent="0.25">
      <c r="A25" s="43" t="str">
        <v>Thursday, September 19, 2024</v>
      </c>
      <c r="B25" s="38"/>
      <c r="C25" s="39"/>
      <c r="D25" s="39"/>
      <c r="E25" s="39"/>
      <c r="F25" s="39"/>
      <c r="G25" s="39"/>
      <c r="H25" s="39"/>
      <c r="I25" s="39"/>
      <c r="J25" s="40"/>
    </row>
    <row r="26" spans="1:10" x14ac:dyDescent="0.25">
      <c r="A26" s="43" t="str">
        <v>Friday, September 20, 2024</v>
      </c>
      <c r="B26" s="38"/>
      <c r="C26" s="39"/>
      <c r="D26" s="39"/>
      <c r="E26" s="39"/>
      <c r="F26" s="39"/>
      <c r="G26" s="39"/>
      <c r="H26" s="39"/>
      <c r="I26" s="39"/>
      <c r="J26" s="40"/>
    </row>
    <row r="27" spans="1:10" x14ac:dyDescent="0.25">
      <c r="A27" s="43" t="str">
        <v>Saturday, September 21, 2024</v>
      </c>
      <c r="B27" s="38"/>
      <c r="C27" s="39"/>
      <c r="D27" s="39"/>
      <c r="E27" s="39"/>
      <c r="F27" s="39"/>
      <c r="G27" s="39"/>
      <c r="H27" s="39"/>
      <c r="I27" s="39"/>
      <c r="J27" s="40"/>
    </row>
    <row r="28" spans="1:10" x14ac:dyDescent="0.25">
      <c r="A28" s="43" t="str">
        <v>Sunday, September 22, 2024</v>
      </c>
      <c r="B28" s="38"/>
      <c r="C28" s="39"/>
      <c r="D28" s="39"/>
      <c r="E28" s="39"/>
      <c r="F28" s="39"/>
      <c r="G28" s="39"/>
      <c r="H28" s="39"/>
      <c r="I28" s="39"/>
      <c r="J28" s="40"/>
    </row>
    <row r="29" spans="1:10" x14ac:dyDescent="0.25">
      <c r="A29" s="43" t="str">
        <v>Monday, September 23, 2024</v>
      </c>
      <c r="B29" s="38"/>
      <c r="C29" s="39"/>
      <c r="D29" s="39"/>
      <c r="E29" s="39"/>
      <c r="F29" s="39"/>
      <c r="G29" s="39"/>
      <c r="H29" s="39"/>
      <c r="I29" s="39"/>
      <c r="J29" s="40"/>
    </row>
    <row r="30" spans="1:10" x14ac:dyDescent="0.25">
      <c r="A30" s="43" t="str">
        <v>Tuesday, September 24, 2024</v>
      </c>
      <c r="B30" s="38"/>
      <c r="C30" s="39"/>
      <c r="D30" s="39"/>
      <c r="E30" s="39"/>
      <c r="F30" s="39"/>
      <c r="G30" s="39"/>
      <c r="H30" s="39"/>
      <c r="I30" s="39"/>
      <c r="J30" s="40"/>
    </row>
    <row r="31" spans="1:10" x14ac:dyDescent="0.25">
      <c r="A31" s="43" t="str">
        <v>Wednesday, September 25, 2024</v>
      </c>
      <c r="B31" s="38"/>
      <c r="C31" s="39"/>
      <c r="D31" s="39"/>
      <c r="E31" s="39"/>
      <c r="F31" s="39"/>
      <c r="G31" s="39"/>
      <c r="H31" s="39"/>
      <c r="I31" s="39"/>
      <c r="J31" s="40"/>
    </row>
    <row r="32" spans="1:10" x14ac:dyDescent="0.25">
      <c r="A32" s="43" t="str">
        <v>Thursday, September 26, 2024</v>
      </c>
      <c r="B32" s="38"/>
      <c r="C32" s="39"/>
      <c r="D32" s="39"/>
      <c r="E32" s="39"/>
      <c r="F32" s="39"/>
      <c r="G32" s="39"/>
      <c r="H32" s="39"/>
      <c r="I32" s="39"/>
      <c r="J32" s="40"/>
    </row>
    <row r="33" spans="1:10" x14ac:dyDescent="0.25">
      <c r="A33" s="43" t="str">
        <v>Friday, September 27, 2024</v>
      </c>
      <c r="B33" s="38"/>
      <c r="C33" s="39"/>
      <c r="D33" s="39"/>
      <c r="E33" s="39"/>
      <c r="F33" s="39"/>
      <c r="G33" s="39"/>
      <c r="H33" s="39"/>
      <c r="I33" s="39"/>
      <c r="J33" s="40"/>
    </row>
    <row r="34" spans="1:10" x14ac:dyDescent="0.25">
      <c r="A34" s="43" t="str">
        <v>Saturday, September 28, 2024</v>
      </c>
      <c r="B34" s="38"/>
      <c r="C34" s="39"/>
      <c r="D34" s="39"/>
      <c r="E34" s="39"/>
      <c r="F34" s="39"/>
      <c r="G34" s="39"/>
      <c r="H34" s="39"/>
      <c r="I34" s="39"/>
      <c r="J34" s="40"/>
    </row>
    <row r="35" spans="1:10" x14ac:dyDescent="0.25">
      <c r="A35" s="43" t="str">
        <v>Sunday, September 29, 2024</v>
      </c>
      <c r="B35" s="38"/>
      <c r="C35" s="39"/>
      <c r="D35" s="39"/>
      <c r="E35" s="39"/>
      <c r="F35" s="39"/>
      <c r="G35" s="39"/>
      <c r="H35" s="39"/>
      <c r="I35" s="39"/>
      <c r="J35" s="40"/>
    </row>
    <row r="36" spans="1:10" x14ac:dyDescent="0.25">
      <c r="A36" s="43" t="str">
        <v>Monday, September 30, 2024</v>
      </c>
      <c r="B36" s="38"/>
      <c r="C36" s="39"/>
      <c r="D36" s="39"/>
      <c r="E36" s="39"/>
      <c r="F36" s="39"/>
      <c r="G36" s="39"/>
      <c r="H36" s="39"/>
      <c r="I36" s="39"/>
      <c r="J36" s="40"/>
    </row>
    <row r="37" spans="1:10" x14ac:dyDescent="0.25">
      <c r="A37" s="25"/>
      <c r="B37" s="27"/>
      <c r="C37" s="26"/>
      <c r="D37" s="26"/>
      <c r="E37" s="26"/>
      <c r="F37" s="26"/>
      <c r="G37" s="26"/>
      <c r="H37" s="26"/>
      <c r="I37" s="26"/>
      <c r="J37" s="26"/>
    </row>
    <row r="38" spans="1:10" ht="13" x14ac:dyDescent="0.3">
      <c r="A38" s="19"/>
      <c r="B38" s="28"/>
      <c r="C38" s="14"/>
      <c r="D38" s="14"/>
      <c r="E38" s="14"/>
      <c r="F38" s="29"/>
      <c r="G38" s="14"/>
      <c r="H38" s="14"/>
      <c r="I38" s="14"/>
      <c r="J38" s="2"/>
    </row>
    <row r="39" spans="1:10" ht="13" x14ac:dyDescent="0.3">
      <c r="A39" s="30"/>
      <c r="B39" s="8" t="str">
        <f>C4&amp;" "&amp;F4&amp;" HOURS"</f>
        <v>September 2024 HOURS</v>
      </c>
      <c r="C39" s="15">
        <f t="shared" ref="C39:I39" si="0">SUM(C7:C38)</f>
        <v>0</v>
      </c>
      <c r="D39" s="7">
        <f t="shared" si="0"/>
        <v>0</v>
      </c>
      <c r="E39" s="15">
        <f t="shared" si="0"/>
        <v>0</v>
      </c>
      <c r="F39" s="7">
        <f t="shared" si="0"/>
        <v>0</v>
      </c>
      <c r="G39" s="15">
        <f t="shared" si="0"/>
        <v>0</v>
      </c>
      <c r="H39" s="7">
        <f t="shared" si="0"/>
        <v>0</v>
      </c>
      <c r="I39" s="7">
        <f t="shared" si="0"/>
        <v>0</v>
      </c>
      <c r="J39" s="24"/>
    </row>
    <row r="43" spans="1:10" x14ac:dyDescent="0.25">
      <c r="A43" t="str">
        <f>IFERROR(IF(A44="","","X"),"")</f>
        <v/>
      </c>
      <c r="F43" s="52" t="str">
        <f>IFERROR(IF(F44="","","X"),"")</f>
        <v/>
      </c>
      <c r="G43" s="52" t="str">
        <f>IFERROR(IF(G44="","","X"),"")</f>
        <v/>
      </c>
      <c r="H43" s="52" t="str">
        <f>IFERROR(IF(H44="","","X"),"")</f>
        <v/>
      </c>
      <c r="I43" s="52" t="str">
        <f>IFERROR(IF(I44="","","X"),"")</f>
        <v/>
      </c>
    </row>
    <row r="44" spans="1:10" x14ac:dyDescent="0.25">
      <c r="A44" s="33" t="str">
        <f>IFERROR(IF(AB2&gt;0,AA2,""),"")</f>
        <v/>
      </c>
      <c r="F44" s="51" t="str">
        <f>IFERROR(IF(AB$2&gt;1,AA3,""),"")</f>
        <v/>
      </c>
      <c r="G44" s="51"/>
      <c r="H44" s="51"/>
      <c r="I44" s="51"/>
    </row>
    <row r="45" spans="1:10" x14ac:dyDescent="0.25">
      <c r="A45" s="33" t="str">
        <f>IFERROR(VLOOKUP(A44,Sheet1!$D$2:$F$52,3,TRUE),"")</f>
        <v/>
      </c>
      <c r="F45" s="51" t="str">
        <f>IFERROR(VLOOKUP(F44,Sheet1!$D$2:$F$52,3,TRUE),"")</f>
        <v/>
      </c>
      <c r="G45" s="51" t="str">
        <f>IFERROR(VLOOKUP(G44,Sheet1!$D$2:$F$52,3,TRUE),"")</f>
        <v/>
      </c>
      <c r="H45" s="51" t="str">
        <f>IFERROR(VLOOKUP(H44,Sheet1!$D$2:$F$52,3,TRUE),"")</f>
        <v/>
      </c>
      <c r="I45" s="51" t="str">
        <f>IFERROR(VLOOKUP(I44,Sheet1!$D$2:$F$52,3,TRUE),"")</f>
        <v/>
      </c>
    </row>
    <row r="46" spans="1:10" x14ac:dyDescent="0.25">
      <c r="A46" t="str">
        <f>IFERROR(VLOOKUP(A44,Sheet1!$D$2:$F$52,2,TRUE),"")</f>
        <v/>
      </c>
      <c r="F46" s="50" t="str">
        <f>IFERROR(VLOOKUP(F44,Sheet1!$D$2:$F$52,2,TRUE),"")</f>
        <v/>
      </c>
      <c r="G46" s="50" t="str">
        <f>IFERROR(VLOOKUP(G44,Sheet1!$D$2:$F$52,2,TRUE),"")</f>
        <v/>
      </c>
      <c r="H46" s="50" t="str">
        <f>IFERROR(VLOOKUP(H44,Sheet1!$D$2:$F$52,2,TRUE),"")</f>
        <v/>
      </c>
      <c r="I46" s="50" t="str">
        <f>IFERROR(VLOOKUP(I44,Sheet1!$D$2:$F$52,2,TRUE),"")</f>
        <v/>
      </c>
    </row>
    <row r="49" spans="1:9" x14ac:dyDescent="0.25">
      <c r="A49" t="str">
        <f>IFERROR(IF(A50="","","X"),"")</f>
        <v/>
      </c>
      <c r="F49" s="50" t="str">
        <f>IFERROR(IF(F50="","","X"),"")</f>
        <v/>
      </c>
      <c r="G49" s="50"/>
      <c r="H49" s="50"/>
      <c r="I49" s="50"/>
    </row>
    <row r="50" spans="1:9" x14ac:dyDescent="0.25">
      <c r="A50" s="33" t="str">
        <f>IFERROR(IF(AB2&gt;2,AA4,""),"")</f>
        <v/>
      </c>
      <c r="F50" s="51" t="str">
        <f>IFERROR(IF(AB2&gt;3,AA5,""),"")</f>
        <v/>
      </c>
      <c r="G50" s="51"/>
      <c r="H50" s="51"/>
      <c r="I50" s="51"/>
    </row>
    <row r="51" spans="1:9" x14ac:dyDescent="0.25">
      <c r="A51" s="33" t="str">
        <f>IFERROR(VLOOKUP(A50,Sheet1!$D$2:$F$52,3,TRUE),"")</f>
        <v/>
      </c>
      <c r="F51" s="51" t="str">
        <f>IFERROR(VLOOKUP(F50,Sheet1!$D$2:$F$52,3,TRUE),"")</f>
        <v/>
      </c>
      <c r="G51" s="51"/>
      <c r="H51" s="51"/>
      <c r="I51" s="51"/>
    </row>
    <row r="52" spans="1:9" x14ac:dyDescent="0.25">
      <c r="A52" t="str">
        <f>IFERROR(VLOOKUP(A50,Sheet1!$D$2:$F$52,2,TRUE),"")</f>
        <v/>
      </c>
      <c r="F52" s="50" t="str">
        <f>IFERROR(VLOOKUP(F50,Sheet1!$D$2:$F$52,2,TRUE),"")</f>
        <v/>
      </c>
      <c r="G52" s="50"/>
      <c r="H52" s="50"/>
      <c r="I52" s="50"/>
    </row>
    <row r="55" spans="1:9" x14ac:dyDescent="0.25">
      <c r="A55" t="str">
        <f>IFERROR(IF(A56="","","X"),"")</f>
        <v/>
      </c>
      <c r="F55" s="50" t="str">
        <f>IFERROR(IF(F56="","","X"),"")</f>
        <v/>
      </c>
      <c r="G55" s="50"/>
      <c r="H55" s="50"/>
      <c r="I55" s="50"/>
    </row>
    <row r="56" spans="1:9" x14ac:dyDescent="0.25">
      <c r="A56" t="str">
        <f>IFERROR(IF(AB2&gt;4,AA6,""),"")</f>
        <v/>
      </c>
      <c r="F56" s="51" t="str">
        <f>IFERROR(IF(AB2&gt;5,AA7,""),"")</f>
        <v/>
      </c>
      <c r="G56" s="51"/>
      <c r="H56" s="51"/>
      <c r="I56" s="51"/>
    </row>
    <row r="57" spans="1:9" x14ac:dyDescent="0.25">
      <c r="A57" t="str">
        <f>IFERROR(VLOOKUP(A56,Sheet1!$D$2:$F$52,3,TRUE),"")</f>
        <v/>
      </c>
      <c r="F57" s="51" t="str">
        <f>IFERROR(VLOOKUP(F56,Sheet1!$D$2:$F$52,3,TRUE),"")</f>
        <v/>
      </c>
      <c r="G57" s="51"/>
      <c r="H57" s="51"/>
      <c r="I57" s="51"/>
    </row>
    <row r="58" spans="1:9" x14ac:dyDescent="0.25">
      <c r="A58" t="str">
        <f>IFERROR(VLOOKUP(A56,Sheet1!$D$2:$F$52,2,TRUE),"")</f>
        <v/>
      </c>
      <c r="F58" s="50" t="str">
        <f>IFERROR(VLOOKUP(F56,Sheet1!$D$2:$F$52,2,TRUE),"")</f>
        <v/>
      </c>
      <c r="G58" s="50"/>
      <c r="H58" s="50"/>
      <c r="I58" s="50"/>
    </row>
  </sheetData>
  <sheetProtection algorithmName="SHA-512" hashValue="VnkTa1wFTPSRKclDgC+lA5kci8iB2Tj8fWOTEOrKzCvsv++jXpDivCLlY4EfK1sxwnb6FYkakQMlNHajBIl9jA==" saltValue="oowT4XK+bj84xzrf/nYMyA==" spinCount="100000" sheet="1" objects="1" scenarios="1"/>
  <mergeCells count="17">
    <mergeCell ref="F52:I52"/>
    <mergeCell ref="F55:I55"/>
    <mergeCell ref="F56:I56"/>
    <mergeCell ref="F57:I57"/>
    <mergeCell ref="F58:I58"/>
    <mergeCell ref="F51:I51"/>
    <mergeCell ref="A1:E1"/>
    <mergeCell ref="F1:J1"/>
    <mergeCell ref="A3:J3"/>
    <mergeCell ref="C4:E4"/>
    <mergeCell ref="F4:G4"/>
    <mergeCell ref="F43:I43"/>
    <mergeCell ref="F44:I44"/>
    <mergeCell ref="F45:I45"/>
    <mergeCell ref="F46:I46"/>
    <mergeCell ref="F49:I49"/>
    <mergeCell ref="F50:I50"/>
  </mergeCells>
  <conditionalFormatting sqref="A43:B43">
    <cfRule type="expression" dxfId="23" priority="6" stopIfTrue="1">
      <formula>$A$44&lt;&gt;""</formula>
    </cfRule>
  </conditionalFormatting>
  <conditionalFormatting sqref="A49:B49">
    <cfRule type="expression" dxfId="22" priority="4" stopIfTrue="1">
      <formula>$A$50&lt;&gt;""</formula>
    </cfRule>
  </conditionalFormatting>
  <conditionalFormatting sqref="A55:B55">
    <cfRule type="expression" dxfId="21" priority="2" stopIfTrue="1">
      <formula>$A$56&lt;&gt;""</formula>
    </cfRule>
  </conditionalFormatting>
  <conditionalFormatting sqref="F43:J43">
    <cfRule type="expression" dxfId="20" priority="5" stopIfTrue="1">
      <formula>$F$44&lt;&gt;""</formula>
    </cfRule>
  </conditionalFormatting>
  <conditionalFormatting sqref="F49:J49">
    <cfRule type="expression" dxfId="19" priority="3" stopIfTrue="1">
      <formula>$F$50&lt;&gt;""</formula>
    </cfRule>
  </conditionalFormatting>
  <conditionalFormatting sqref="F55:J55">
    <cfRule type="expression" dxfId="18" priority="1" stopIfTrue="1">
      <formula>$F$56&lt;&gt;""</formula>
    </cfRule>
  </conditionalFormatting>
  <pageMargins left="0.5" right="0.5" top="0.5" bottom="0.5" header="0.5" footer="0.5"/>
  <pageSetup scale="73" orientation="portrait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535E3F3-F8C7-467B-BFC2-4C1DCB396E14}">
          <x14:formula1>
            <xm:f>Sheet1!$D:$D</xm:f>
          </x14:formula1>
          <xm:sqref>J7:J36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3A10E-4F68-410A-8E9B-E6EC30AA2F88}">
  <sheetPr>
    <pageSetUpPr fitToPage="1"/>
  </sheetPr>
  <dimension ref="A1:AB59"/>
  <sheetViews>
    <sheetView zoomScaleNormal="100" workbookViewId="0">
      <selection activeCell="H6" sqref="H6"/>
    </sheetView>
  </sheetViews>
  <sheetFormatPr defaultColWidth="8.81640625" defaultRowHeight="12.5" x14ac:dyDescent="0.25"/>
  <cols>
    <col min="1" max="1" width="25.81640625" customWidth="1"/>
    <col min="2" max="2" width="24" customWidth="1"/>
    <col min="3" max="3" width="7.1796875" style="2" customWidth="1"/>
    <col min="4" max="4" width="6.1796875" style="2" customWidth="1"/>
    <col min="5" max="5" width="6.54296875" style="2" customWidth="1"/>
    <col min="6" max="6" width="6.54296875" customWidth="1"/>
    <col min="7" max="8" width="6.81640625" style="2" customWidth="1"/>
    <col min="9" max="9" width="7.453125" style="2" customWidth="1"/>
    <col min="10" max="10" width="32.453125" customWidth="1"/>
    <col min="27" max="27" width="15.1796875" bestFit="1" customWidth="1"/>
  </cols>
  <sheetData>
    <row r="1" spans="1:28" ht="72.75" customHeight="1" thickBot="1" x14ac:dyDescent="0.4">
      <c r="A1" s="44"/>
      <c r="B1" s="44"/>
      <c r="C1" s="44"/>
      <c r="D1" s="44"/>
      <c r="E1" s="44"/>
      <c r="F1" s="45" t="s">
        <v>138</v>
      </c>
      <c r="G1" s="46"/>
      <c r="H1" s="46"/>
      <c r="I1" s="46"/>
      <c r="J1" s="46"/>
    </row>
    <row r="2" spans="1:28" ht="15.5" x14ac:dyDescent="0.35">
      <c r="B2" s="5"/>
      <c r="C2" s="13"/>
      <c r="D2" s="13"/>
      <c r="E2" s="13"/>
      <c r="F2" s="5"/>
      <c r="G2" s="13"/>
      <c r="H2" s="13"/>
      <c r="I2" s="13"/>
      <c r="J2" s="5"/>
      <c r="AA2" t="str" cm="1">
        <f t="array" ref="AA2">IFERROR(_xlfn.UNIQUE(_xlfn._xlws.FILTER(J7:J37,J7:J37&lt;&gt;"")),"")</f>
        <v/>
      </c>
      <c r="AB2">
        <f>COUNTA(AA:AA)</f>
        <v>1</v>
      </c>
    </row>
    <row r="3" spans="1:28" ht="15.5" x14ac:dyDescent="0.35">
      <c r="A3" s="47" t="s">
        <v>12</v>
      </c>
      <c r="B3" s="47"/>
      <c r="C3" s="47"/>
      <c r="D3" s="47"/>
      <c r="E3" s="47"/>
      <c r="F3" s="47"/>
      <c r="G3" s="47"/>
      <c r="H3" s="47"/>
      <c r="I3" s="47"/>
      <c r="J3" s="47"/>
    </row>
    <row r="4" spans="1:28" ht="20.25" customHeight="1" x14ac:dyDescent="0.3">
      <c r="A4" s="1" t="s">
        <v>0</v>
      </c>
      <c r="B4" s="4" t="str">
        <f>IF(Jan!B4="","",Jan!B4)</f>
        <v>Your Name</v>
      </c>
      <c r="C4" s="48" t="s">
        <v>22</v>
      </c>
      <c r="D4" s="48"/>
      <c r="E4" s="48"/>
      <c r="F4" s="53">
        <f>Jan!F4</f>
        <v>2024</v>
      </c>
      <c r="G4" s="54"/>
    </row>
    <row r="5" spans="1:28" ht="21" customHeight="1" x14ac:dyDescent="0.4">
      <c r="A5" s="3"/>
      <c r="B5" s="4"/>
      <c r="C5" s="14"/>
      <c r="D5" s="14"/>
      <c r="E5" s="16" t="s">
        <v>7</v>
      </c>
      <c r="F5" s="4"/>
      <c r="G5" s="14"/>
      <c r="H5" s="14"/>
      <c r="I5" s="14"/>
      <c r="J5" s="3" t="s">
        <v>26</v>
      </c>
      <c r="K5" s="1"/>
      <c r="L5" s="1"/>
    </row>
    <row r="6" spans="1:28" s="2" customFormat="1" ht="13.5" thickBot="1" x14ac:dyDescent="0.35">
      <c r="A6" s="9" t="s">
        <v>1</v>
      </c>
      <c r="B6" s="10" t="s">
        <v>2</v>
      </c>
      <c r="C6" s="10" t="s">
        <v>3</v>
      </c>
      <c r="D6" s="10" t="s">
        <v>4</v>
      </c>
      <c r="E6" s="10" t="s">
        <v>140</v>
      </c>
      <c r="F6" s="10" t="s">
        <v>5</v>
      </c>
      <c r="G6" s="10" t="s">
        <v>6</v>
      </c>
      <c r="H6" s="10" t="s">
        <v>143</v>
      </c>
      <c r="I6" s="10" t="s">
        <v>8</v>
      </c>
      <c r="J6" s="11"/>
    </row>
    <row r="7" spans="1:28" x14ac:dyDescent="0.25">
      <c r="A7" s="43" t="str" cm="1">
        <f t="array" ref="A7:A37">IFERROR(
_xlfn.LET(
_xlpm.yr,$F$4,
_xlpm.mn,IF(ISNUMBER($C$4),$C$4,MONTH(1&amp;$C$4)),
_xlpm.first,DATE(_xlpm.yr,_xlpm.mn,1),
_xlpm.daysInMonth,DAY(EOMONTH(_xlpm.first,0)),
TEXT(_xlpm.first+_xlfn.SEQUENCE(_xlpm.daysInMonth)-1,"dddd, mmmm d, yyyy")
),
"")</f>
        <v>Tuesday, October 1, 2024</v>
      </c>
      <c r="B7" s="38"/>
      <c r="C7" s="39"/>
      <c r="D7" s="39"/>
      <c r="E7" s="39"/>
      <c r="F7" s="39"/>
      <c r="G7" s="39"/>
      <c r="H7" s="39"/>
      <c r="I7" s="39"/>
      <c r="J7" s="40"/>
    </row>
    <row r="8" spans="1:28" x14ac:dyDescent="0.25">
      <c r="A8" s="43" t="str">
        <v>Wednesday, October 2, 2024</v>
      </c>
      <c r="B8" s="38"/>
      <c r="C8" s="39"/>
      <c r="D8" s="39"/>
      <c r="E8" s="39"/>
      <c r="F8" s="39"/>
      <c r="G8" s="39"/>
      <c r="H8" s="39"/>
      <c r="I8" s="39"/>
      <c r="J8" s="40"/>
    </row>
    <row r="9" spans="1:28" x14ac:dyDescent="0.25">
      <c r="A9" s="43" t="str">
        <v>Thursday, October 3, 2024</v>
      </c>
      <c r="B9" s="38"/>
      <c r="C9" s="39"/>
      <c r="D9" s="39"/>
      <c r="E9" s="39"/>
      <c r="F9" s="39"/>
      <c r="G9" s="39"/>
      <c r="H9" s="39"/>
      <c r="I9" s="39"/>
      <c r="J9" s="40"/>
    </row>
    <row r="10" spans="1:28" x14ac:dyDescent="0.25">
      <c r="A10" s="43" t="str">
        <v>Friday, October 4, 2024</v>
      </c>
      <c r="B10" s="38"/>
      <c r="C10" s="39"/>
      <c r="D10" s="39"/>
      <c r="E10" s="39"/>
      <c r="F10" s="39"/>
      <c r="G10" s="39"/>
      <c r="H10" s="39"/>
      <c r="I10" s="39"/>
      <c r="J10" s="40"/>
    </row>
    <row r="11" spans="1:28" x14ac:dyDescent="0.25">
      <c r="A11" s="43" t="str">
        <v>Saturday, October 5, 2024</v>
      </c>
      <c r="B11" s="38"/>
      <c r="C11" s="39"/>
      <c r="D11" s="39"/>
      <c r="E11" s="39"/>
      <c r="F11" s="39"/>
      <c r="G11" s="39"/>
      <c r="H11" s="39"/>
      <c r="I11" s="39"/>
      <c r="J11" s="40"/>
    </row>
    <row r="12" spans="1:28" x14ac:dyDescent="0.25">
      <c r="A12" s="43" t="str">
        <v>Sunday, October 6, 2024</v>
      </c>
      <c r="B12" s="38"/>
      <c r="C12" s="39"/>
      <c r="D12" s="39"/>
      <c r="E12" s="39"/>
      <c r="F12" s="39"/>
      <c r="G12" s="39"/>
      <c r="H12" s="39"/>
      <c r="I12" s="39"/>
      <c r="J12" s="40"/>
    </row>
    <row r="13" spans="1:28" x14ac:dyDescent="0.25">
      <c r="A13" s="43" t="str">
        <v>Monday, October 7, 2024</v>
      </c>
      <c r="B13" s="38"/>
      <c r="C13" s="39"/>
      <c r="D13" s="39"/>
      <c r="E13" s="39"/>
      <c r="F13" s="39"/>
      <c r="G13" s="39"/>
      <c r="H13" s="39"/>
      <c r="I13" s="39"/>
      <c r="J13" s="40"/>
    </row>
    <row r="14" spans="1:28" x14ac:dyDescent="0.25">
      <c r="A14" s="43" t="str">
        <v>Tuesday, October 8, 2024</v>
      </c>
      <c r="B14" s="38"/>
      <c r="C14" s="39"/>
      <c r="D14" s="39"/>
      <c r="E14" s="39"/>
      <c r="F14" s="39"/>
      <c r="G14" s="39"/>
      <c r="H14" s="39"/>
      <c r="I14" s="39"/>
      <c r="J14" s="40"/>
    </row>
    <row r="15" spans="1:28" x14ac:dyDescent="0.25">
      <c r="A15" s="43" t="str">
        <v>Wednesday, October 9, 2024</v>
      </c>
      <c r="B15" s="38"/>
      <c r="C15" s="39"/>
      <c r="D15" s="39"/>
      <c r="E15" s="39"/>
      <c r="F15" s="39"/>
      <c r="G15" s="39"/>
      <c r="H15" s="39"/>
      <c r="I15" s="39"/>
      <c r="J15" s="40"/>
    </row>
    <row r="16" spans="1:28" x14ac:dyDescent="0.25">
      <c r="A16" s="43" t="str">
        <v>Thursday, October 10, 2024</v>
      </c>
      <c r="B16" s="38"/>
      <c r="C16" s="39"/>
      <c r="D16" s="39"/>
      <c r="E16" s="39"/>
      <c r="F16" s="39"/>
      <c r="G16" s="39"/>
      <c r="H16" s="39"/>
      <c r="I16" s="39"/>
      <c r="J16" s="40"/>
    </row>
    <row r="17" spans="1:10" x14ac:dyDescent="0.25">
      <c r="A17" s="43" t="str">
        <v>Friday, October 11, 2024</v>
      </c>
      <c r="B17" s="38"/>
      <c r="C17" s="39"/>
      <c r="D17" s="39"/>
      <c r="E17" s="39"/>
      <c r="F17" s="39"/>
      <c r="G17" s="39"/>
      <c r="H17" s="39"/>
      <c r="I17" s="39"/>
      <c r="J17" s="40"/>
    </row>
    <row r="18" spans="1:10" x14ac:dyDescent="0.25">
      <c r="A18" s="43" t="str">
        <v>Saturday, October 12, 2024</v>
      </c>
      <c r="B18" s="38"/>
      <c r="C18" s="39"/>
      <c r="D18" s="39"/>
      <c r="E18" s="39"/>
      <c r="F18" s="39"/>
      <c r="G18" s="39"/>
      <c r="H18" s="39"/>
      <c r="I18" s="39"/>
      <c r="J18" s="40"/>
    </row>
    <row r="19" spans="1:10" x14ac:dyDescent="0.25">
      <c r="A19" s="43" t="str">
        <v>Sunday, October 13, 2024</v>
      </c>
      <c r="B19" s="38"/>
      <c r="C19" s="39"/>
      <c r="D19" s="39"/>
      <c r="E19" s="39"/>
      <c r="F19" s="39"/>
      <c r="G19" s="39"/>
      <c r="H19" s="39"/>
      <c r="I19" s="39"/>
      <c r="J19" s="40"/>
    </row>
    <row r="20" spans="1:10" x14ac:dyDescent="0.25">
      <c r="A20" s="43" t="str">
        <v>Monday, October 14, 2024</v>
      </c>
      <c r="B20" s="38"/>
      <c r="C20" s="39"/>
      <c r="D20" s="39"/>
      <c r="E20" s="39"/>
      <c r="F20" s="39"/>
      <c r="G20" s="39"/>
      <c r="H20" s="39"/>
      <c r="I20" s="39"/>
      <c r="J20" s="40"/>
    </row>
    <row r="21" spans="1:10" x14ac:dyDescent="0.25">
      <c r="A21" s="43" t="str">
        <v>Tuesday, October 15, 2024</v>
      </c>
      <c r="B21" s="38"/>
      <c r="C21" s="39"/>
      <c r="D21" s="39"/>
      <c r="E21" s="39"/>
      <c r="F21" s="39"/>
      <c r="G21" s="39"/>
      <c r="H21" s="39"/>
      <c r="I21" s="39"/>
      <c r="J21" s="40"/>
    </row>
    <row r="22" spans="1:10" x14ac:dyDescent="0.25">
      <c r="A22" s="43" t="str">
        <v>Wednesday, October 16, 2024</v>
      </c>
      <c r="B22" s="38"/>
      <c r="C22" s="39"/>
      <c r="D22" s="39"/>
      <c r="E22" s="39"/>
      <c r="F22" s="39"/>
      <c r="G22" s="39"/>
      <c r="H22" s="39"/>
      <c r="I22" s="39"/>
      <c r="J22" s="40"/>
    </row>
    <row r="23" spans="1:10" x14ac:dyDescent="0.25">
      <c r="A23" s="43" t="str">
        <v>Thursday, October 17, 2024</v>
      </c>
      <c r="B23" s="38"/>
      <c r="C23" s="39"/>
      <c r="D23" s="39"/>
      <c r="E23" s="39"/>
      <c r="F23" s="39"/>
      <c r="G23" s="39"/>
      <c r="H23" s="39"/>
      <c r="I23" s="39"/>
      <c r="J23" s="40"/>
    </row>
    <row r="24" spans="1:10" x14ac:dyDescent="0.25">
      <c r="A24" s="43" t="str">
        <v>Friday, October 18, 2024</v>
      </c>
      <c r="B24" s="38"/>
      <c r="C24" s="39"/>
      <c r="D24" s="39"/>
      <c r="E24" s="39"/>
      <c r="F24" s="39"/>
      <c r="G24" s="39"/>
      <c r="H24" s="39"/>
      <c r="I24" s="39"/>
      <c r="J24" s="40"/>
    </row>
    <row r="25" spans="1:10" x14ac:dyDescent="0.25">
      <c r="A25" s="43" t="str">
        <v>Saturday, October 19, 2024</v>
      </c>
      <c r="B25" s="38"/>
      <c r="C25" s="39"/>
      <c r="D25" s="39"/>
      <c r="E25" s="39"/>
      <c r="F25" s="39"/>
      <c r="G25" s="39"/>
      <c r="H25" s="39"/>
      <c r="I25" s="39"/>
      <c r="J25" s="40"/>
    </row>
    <row r="26" spans="1:10" x14ac:dyDescent="0.25">
      <c r="A26" s="43" t="str">
        <v>Sunday, October 20, 2024</v>
      </c>
      <c r="B26" s="38"/>
      <c r="C26" s="39"/>
      <c r="D26" s="39"/>
      <c r="E26" s="39"/>
      <c r="F26" s="39"/>
      <c r="G26" s="39"/>
      <c r="H26" s="39"/>
      <c r="I26" s="39"/>
      <c r="J26" s="40"/>
    </row>
    <row r="27" spans="1:10" x14ac:dyDescent="0.25">
      <c r="A27" s="43" t="str">
        <v>Monday, October 21, 2024</v>
      </c>
      <c r="B27" s="38"/>
      <c r="C27" s="39"/>
      <c r="D27" s="39"/>
      <c r="E27" s="39"/>
      <c r="F27" s="39"/>
      <c r="G27" s="39"/>
      <c r="H27" s="39"/>
      <c r="I27" s="39"/>
      <c r="J27" s="40"/>
    </row>
    <row r="28" spans="1:10" x14ac:dyDescent="0.25">
      <c r="A28" s="43" t="str">
        <v>Tuesday, October 22, 2024</v>
      </c>
      <c r="B28" s="38"/>
      <c r="C28" s="39"/>
      <c r="D28" s="39"/>
      <c r="E28" s="39"/>
      <c r="F28" s="39"/>
      <c r="G28" s="39"/>
      <c r="H28" s="39"/>
      <c r="I28" s="39"/>
      <c r="J28" s="40"/>
    </row>
    <row r="29" spans="1:10" x14ac:dyDescent="0.25">
      <c r="A29" s="43" t="str">
        <v>Wednesday, October 23, 2024</v>
      </c>
      <c r="B29" s="38"/>
      <c r="C29" s="39"/>
      <c r="D29" s="39"/>
      <c r="E29" s="39"/>
      <c r="F29" s="39"/>
      <c r="G29" s="39"/>
      <c r="H29" s="39"/>
      <c r="I29" s="39"/>
      <c r="J29" s="40"/>
    </row>
    <row r="30" spans="1:10" x14ac:dyDescent="0.25">
      <c r="A30" s="43" t="str">
        <v>Thursday, October 24, 2024</v>
      </c>
      <c r="B30" s="38"/>
      <c r="C30" s="39"/>
      <c r="D30" s="39"/>
      <c r="E30" s="39"/>
      <c r="F30" s="39"/>
      <c r="G30" s="39"/>
      <c r="H30" s="39"/>
      <c r="I30" s="39"/>
      <c r="J30" s="40"/>
    </row>
    <row r="31" spans="1:10" x14ac:dyDescent="0.25">
      <c r="A31" s="43" t="str">
        <v>Friday, October 25, 2024</v>
      </c>
      <c r="B31" s="38"/>
      <c r="C31" s="39"/>
      <c r="D31" s="39"/>
      <c r="E31" s="39"/>
      <c r="F31" s="39"/>
      <c r="G31" s="39"/>
      <c r="H31" s="39"/>
      <c r="I31" s="39"/>
      <c r="J31" s="40"/>
    </row>
    <row r="32" spans="1:10" x14ac:dyDescent="0.25">
      <c r="A32" s="43" t="str">
        <v>Saturday, October 26, 2024</v>
      </c>
      <c r="B32" s="38"/>
      <c r="C32" s="39"/>
      <c r="D32" s="39"/>
      <c r="E32" s="39"/>
      <c r="F32" s="39"/>
      <c r="G32" s="39"/>
      <c r="H32" s="39"/>
      <c r="I32" s="39"/>
      <c r="J32" s="40"/>
    </row>
    <row r="33" spans="1:10" x14ac:dyDescent="0.25">
      <c r="A33" s="43" t="str">
        <v>Sunday, October 27, 2024</v>
      </c>
      <c r="B33" s="38"/>
      <c r="C33" s="39"/>
      <c r="D33" s="39"/>
      <c r="E33" s="39"/>
      <c r="F33" s="39"/>
      <c r="G33" s="39"/>
      <c r="H33" s="39"/>
      <c r="I33" s="39"/>
      <c r="J33" s="40"/>
    </row>
    <row r="34" spans="1:10" x14ac:dyDescent="0.25">
      <c r="A34" s="43" t="str">
        <v>Monday, October 28, 2024</v>
      </c>
      <c r="B34" s="38"/>
      <c r="C34" s="39"/>
      <c r="D34" s="39"/>
      <c r="E34" s="39"/>
      <c r="F34" s="39"/>
      <c r="G34" s="39"/>
      <c r="H34" s="39"/>
      <c r="I34" s="39"/>
      <c r="J34" s="40"/>
    </row>
    <row r="35" spans="1:10" x14ac:dyDescent="0.25">
      <c r="A35" s="43" t="str">
        <v>Tuesday, October 29, 2024</v>
      </c>
      <c r="B35" s="38"/>
      <c r="C35" s="39"/>
      <c r="D35" s="39"/>
      <c r="E35" s="39"/>
      <c r="F35" s="39"/>
      <c r="G35" s="39"/>
      <c r="H35" s="39"/>
      <c r="I35" s="39"/>
      <c r="J35" s="40"/>
    </row>
    <row r="36" spans="1:10" x14ac:dyDescent="0.25">
      <c r="A36" s="43" t="str">
        <v>Wednesday, October 30, 2024</v>
      </c>
      <c r="B36" s="38"/>
      <c r="C36" s="39"/>
      <c r="D36" s="39"/>
      <c r="E36" s="39"/>
      <c r="F36" s="39"/>
      <c r="G36" s="39"/>
      <c r="H36" s="39"/>
      <c r="I36" s="39"/>
      <c r="J36" s="40"/>
    </row>
    <row r="37" spans="1:10" x14ac:dyDescent="0.25">
      <c r="A37" s="43" t="str">
        <v>Thursday, October 31, 2024</v>
      </c>
      <c r="B37" s="38"/>
      <c r="C37" s="39"/>
      <c r="D37" s="39"/>
      <c r="E37" s="39"/>
      <c r="F37" s="39"/>
      <c r="G37" s="39"/>
      <c r="H37" s="39"/>
      <c r="I37" s="39"/>
      <c r="J37" s="40"/>
    </row>
    <row r="38" spans="1:10" x14ac:dyDescent="0.25">
      <c r="A38" s="25"/>
      <c r="B38" s="27"/>
      <c r="C38" s="26"/>
      <c r="D38" s="26"/>
      <c r="E38" s="26"/>
      <c r="F38" s="26"/>
      <c r="G38" s="26"/>
      <c r="H38" s="26"/>
      <c r="I38" s="26"/>
      <c r="J38" s="26"/>
    </row>
    <row r="39" spans="1:10" ht="13" x14ac:dyDescent="0.3">
      <c r="A39" s="19"/>
      <c r="B39" s="28"/>
      <c r="C39" s="14"/>
      <c r="D39" s="14"/>
      <c r="E39" s="14"/>
      <c r="F39" s="29"/>
      <c r="G39" s="14"/>
      <c r="H39" s="14"/>
      <c r="I39" s="14"/>
      <c r="J39" s="2"/>
    </row>
    <row r="40" spans="1:10" ht="13" x14ac:dyDescent="0.3">
      <c r="A40" s="30"/>
      <c r="B40" s="8" t="str">
        <f>C4&amp;" "&amp;F4&amp;" HOURS"</f>
        <v>October 2024 HOURS</v>
      </c>
      <c r="C40" s="15">
        <f t="shared" ref="C40:I40" si="0">SUM(C7:C39)</f>
        <v>0</v>
      </c>
      <c r="D40" s="7">
        <f t="shared" si="0"/>
        <v>0</v>
      </c>
      <c r="E40" s="15">
        <f t="shared" si="0"/>
        <v>0</v>
      </c>
      <c r="F40" s="7">
        <f t="shared" si="0"/>
        <v>0</v>
      </c>
      <c r="G40" s="15">
        <f t="shared" si="0"/>
        <v>0</v>
      </c>
      <c r="H40" s="7">
        <f t="shared" si="0"/>
        <v>0</v>
      </c>
      <c r="I40" s="7">
        <f t="shared" si="0"/>
        <v>0</v>
      </c>
      <c r="J40" s="24"/>
    </row>
    <row r="44" spans="1:10" x14ac:dyDescent="0.25">
      <c r="A44" t="str">
        <f>IFERROR(IF(A45="","","X"),"")</f>
        <v/>
      </c>
      <c r="F44" s="52" t="str">
        <f>IFERROR(IF(F45="","","X"),"")</f>
        <v/>
      </c>
      <c r="G44" s="52" t="str">
        <f>IFERROR(IF(G45="","","X"),"")</f>
        <v/>
      </c>
      <c r="H44" s="52" t="str">
        <f>IFERROR(IF(H45="","","X"),"")</f>
        <v/>
      </c>
      <c r="I44" s="52" t="str">
        <f>IFERROR(IF(I45="","","X"),"")</f>
        <v/>
      </c>
    </row>
    <row r="45" spans="1:10" x14ac:dyDescent="0.25">
      <c r="A45" s="33" t="str">
        <f>IFERROR(IF(AB2&gt;0,AA2,""),"")</f>
        <v/>
      </c>
      <c r="F45" s="51" t="str">
        <f>IFERROR(IF(AB$2&gt;1,AA3,""),"")</f>
        <v/>
      </c>
      <c r="G45" s="51"/>
      <c r="H45" s="51"/>
      <c r="I45" s="51"/>
    </row>
    <row r="46" spans="1:10" x14ac:dyDescent="0.25">
      <c r="A46" s="33" t="str">
        <f>IFERROR(VLOOKUP(A45,Sheet1!$D$2:$F$52,3,TRUE),"")</f>
        <v/>
      </c>
      <c r="F46" s="51" t="str">
        <f>IFERROR(VLOOKUP(F45,Sheet1!$D$2:$F$52,3,TRUE),"")</f>
        <v/>
      </c>
      <c r="G46" s="51" t="str">
        <f>IFERROR(VLOOKUP(G45,Sheet1!$D$2:$F$52,3,TRUE),"")</f>
        <v/>
      </c>
      <c r="H46" s="51" t="str">
        <f>IFERROR(VLOOKUP(H45,Sheet1!$D$2:$F$52,3,TRUE),"")</f>
        <v/>
      </c>
      <c r="I46" s="51" t="str">
        <f>IFERROR(VLOOKUP(I45,Sheet1!$D$2:$F$52,3,TRUE),"")</f>
        <v/>
      </c>
    </row>
    <row r="47" spans="1:10" x14ac:dyDescent="0.25">
      <c r="A47" t="str">
        <f>IFERROR(VLOOKUP(A45,Sheet1!$D$2:$F$52,2,TRUE),"")</f>
        <v/>
      </c>
      <c r="F47" s="50" t="str">
        <f>IFERROR(VLOOKUP(F45,Sheet1!$D$2:$F$52,2,TRUE),"")</f>
        <v/>
      </c>
      <c r="G47" s="50" t="str">
        <f>IFERROR(VLOOKUP(G45,Sheet1!$D$2:$F$52,2,TRUE),"")</f>
        <v/>
      </c>
      <c r="H47" s="50" t="str">
        <f>IFERROR(VLOOKUP(H45,Sheet1!$D$2:$F$52,2,TRUE),"")</f>
        <v/>
      </c>
      <c r="I47" s="50" t="str">
        <f>IFERROR(VLOOKUP(I45,Sheet1!$D$2:$F$52,2,TRUE),"")</f>
        <v/>
      </c>
    </row>
    <row r="50" spans="1:9" x14ac:dyDescent="0.25">
      <c r="A50" t="str">
        <f>IFERROR(IF(A51="","","X"),"")</f>
        <v/>
      </c>
      <c r="F50" s="50" t="str">
        <f>IFERROR(IF(F51="","","X"),"")</f>
        <v/>
      </c>
      <c r="G50" s="50"/>
      <c r="H50" s="50"/>
      <c r="I50" s="50"/>
    </row>
    <row r="51" spans="1:9" x14ac:dyDescent="0.25">
      <c r="A51" s="33" t="str">
        <f>IFERROR(IF(AB2&gt;2,AA4,""),"")</f>
        <v/>
      </c>
      <c r="F51" s="51" t="str">
        <f>IFERROR(IF(AB2&gt;3,AA5,""),"")</f>
        <v/>
      </c>
      <c r="G51" s="51"/>
      <c r="H51" s="51"/>
      <c r="I51" s="51"/>
    </row>
    <row r="52" spans="1:9" x14ac:dyDescent="0.25">
      <c r="A52" s="33" t="str">
        <f>IFERROR(VLOOKUP(A51,Sheet1!$D$2:$F$52,3,TRUE),"")</f>
        <v/>
      </c>
      <c r="F52" s="51" t="str">
        <f>IFERROR(VLOOKUP(F51,Sheet1!$D$2:$F$52,3,TRUE),"")</f>
        <v/>
      </c>
      <c r="G52" s="51"/>
      <c r="H52" s="51"/>
      <c r="I52" s="51"/>
    </row>
    <row r="53" spans="1:9" x14ac:dyDescent="0.25">
      <c r="A53" t="str">
        <f>IFERROR(VLOOKUP(A51,Sheet1!$D$2:$F$52,2,TRUE),"")</f>
        <v/>
      </c>
      <c r="F53" s="50" t="str">
        <f>IFERROR(VLOOKUP(F51,Sheet1!$D$2:$F$52,2,TRUE),"")</f>
        <v/>
      </c>
      <c r="G53" s="50"/>
      <c r="H53" s="50"/>
      <c r="I53" s="50"/>
    </row>
    <row r="56" spans="1:9" x14ac:dyDescent="0.25">
      <c r="A56" t="str">
        <f>IFERROR(IF(A57="","","X"),"")</f>
        <v/>
      </c>
      <c r="F56" s="50" t="str">
        <f>IFERROR(IF(F57="","","X"),"")</f>
        <v/>
      </c>
      <c r="G56" s="50"/>
      <c r="H56" s="50"/>
      <c r="I56" s="50"/>
    </row>
    <row r="57" spans="1:9" x14ac:dyDescent="0.25">
      <c r="A57" t="str">
        <f>IFERROR(IF(AB2&gt;4,AA6,""),"")</f>
        <v/>
      </c>
      <c r="F57" s="51" t="str">
        <f>IFERROR(IF(AB2&gt;5,AA7,""),"")</f>
        <v/>
      </c>
      <c r="G57" s="51"/>
      <c r="H57" s="51"/>
      <c r="I57" s="51"/>
    </row>
    <row r="58" spans="1:9" x14ac:dyDescent="0.25">
      <c r="A58" t="str">
        <f>IFERROR(VLOOKUP(A57,Sheet1!$D$2:$F$52,3,TRUE),"")</f>
        <v/>
      </c>
      <c r="F58" s="51" t="str">
        <f>IFERROR(VLOOKUP(F57,Sheet1!$D$2:$F$52,3,TRUE),"")</f>
        <v/>
      </c>
      <c r="G58" s="51"/>
      <c r="H58" s="51"/>
      <c r="I58" s="51"/>
    </row>
    <row r="59" spans="1:9" x14ac:dyDescent="0.25">
      <c r="A59" t="str">
        <f>IFERROR(VLOOKUP(A57,Sheet1!$D$2:$F$52,2,TRUE),"")</f>
        <v/>
      </c>
      <c r="F59" s="50" t="str">
        <f>IFERROR(VLOOKUP(F57,Sheet1!$D$2:$F$52,2,TRUE),"")</f>
        <v/>
      </c>
      <c r="G59" s="50"/>
      <c r="H59" s="50"/>
      <c r="I59" s="50"/>
    </row>
  </sheetData>
  <sheetProtection algorithmName="SHA-512" hashValue="jaONAb6gzaSal7tsDNTnsGPifH8EcoqFjuWIIvo2UzPTBUkeLTLvClviYXHkICfsbY2nR8kIczKSkPuPa40BRA==" saltValue="UkxQT/KZx3/gpNq3uF9JYw==" spinCount="100000" sheet="1" objects="1" scenarios="1"/>
  <mergeCells count="17">
    <mergeCell ref="F53:I53"/>
    <mergeCell ref="F56:I56"/>
    <mergeCell ref="F57:I57"/>
    <mergeCell ref="F58:I58"/>
    <mergeCell ref="F59:I59"/>
    <mergeCell ref="F52:I52"/>
    <mergeCell ref="A1:E1"/>
    <mergeCell ref="F1:J1"/>
    <mergeCell ref="A3:J3"/>
    <mergeCell ref="C4:E4"/>
    <mergeCell ref="F4:G4"/>
    <mergeCell ref="F44:I44"/>
    <mergeCell ref="F45:I45"/>
    <mergeCell ref="F46:I46"/>
    <mergeCell ref="F47:I47"/>
    <mergeCell ref="F50:I50"/>
    <mergeCell ref="F51:I51"/>
  </mergeCells>
  <conditionalFormatting sqref="A44:B44">
    <cfRule type="expression" dxfId="17" priority="6" stopIfTrue="1">
      <formula>$A$45&lt;&gt;""</formula>
    </cfRule>
  </conditionalFormatting>
  <conditionalFormatting sqref="A50:B50">
    <cfRule type="expression" dxfId="16" priority="4" stopIfTrue="1">
      <formula>$A$51&lt;&gt;""</formula>
    </cfRule>
  </conditionalFormatting>
  <conditionalFormatting sqref="A56:B56">
    <cfRule type="expression" dxfId="15" priority="2" stopIfTrue="1">
      <formula>$A$57&lt;&gt;""</formula>
    </cfRule>
  </conditionalFormatting>
  <conditionalFormatting sqref="F44:J44">
    <cfRule type="expression" dxfId="14" priority="5" stopIfTrue="1">
      <formula>$F$45&lt;&gt;""</formula>
    </cfRule>
  </conditionalFormatting>
  <conditionalFormatting sqref="F50:J50">
    <cfRule type="expression" dxfId="13" priority="3" stopIfTrue="1">
      <formula>$F$51&lt;&gt;""</formula>
    </cfRule>
  </conditionalFormatting>
  <conditionalFormatting sqref="F56:J56">
    <cfRule type="expression" dxfId="12" priority="1" stopIfTrue="1">
      <formula>$F$57&lt;&gt;""</formula>
    </cfRule>
  </conditionalFormatting>
  <pageMargins left="0.5" right="0.5" top="0.5" bottom="0.5" header="0.5" footer="0.5"/>
  <pageSetup scale="75" orientation="portrait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4029D97-36B8-421D-A17C-1A3F486C3DF3}">
          <x14:formula1>
            <xm:f>Sheet1!$D:$D</xm:f>
          </x14:formula1>
          <xm:sqref>J7:J37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92AB3-9500-425A-B9F2-1B3AC6B04358}">
  <sheetPr>
    <pageSetUpPr fitToPage="1"/>
  </sheetPr>
  <dimension ref="A1:AB58"/>
  <sheetViews>
    <sheetView zoomScaleNormal="100" workbookViewId="0">
      <selection activeCell="H6" sqref="H6"/>
    </sheetView>
  </sheetViews>
  <sheetFormatPr defaultColWidth="8.81640625" defaultRowHeight="12.5" x14ac:dyDescent="0.25"/>
  <cols>
    <col min="1" max="1" width="27.453125" bestFit="1" customWidth="1"/>
    <col min="2" max="2" width="24" customWidth="1"/>
    <col min="3" max="3" width="7.1796875" style="2" customWidth="1"/>
    <col min="4" max="4" width="6.1796875" style="2" customWidth="1"/>
    <col min="5" max="5" width="6.54296875" style="2" customWidth="1"/>
    <col min="6" max="6" width="6.54296875" customWidth="1"/>
    <col min="7" max="8" width="6.81640625" style="2" customWidth="1"/>
    <col min="9" max="9" width="7.453125" style="2" customWidth="1"/>
    <col min="10" max="10" width="32.453125" customWidth="1"/>
    <col min="27" max="27" width="15.1796875" bestFit="1" customWidth="1"/>
  </cols>
  <sheetData>
    <row r="1" spans="1:28" ht="72.75" customHeight="1" thickBot="1" x14ac:dyDescent="0.4">
      <c r="A1" s="44"/>
      <c r="B1" s="44"/>
      <c r="C1" s="44"/>
      <c r="D1" s="44"/>
      <c r="E1" s="44"/>
      <c r="F1" s="45" t="s">
        <v>138</v>
      </c>
      <c r="G1" s="46"/>
      <c r="H1" s="46"/>
      <c r="I1" s="46"/>
      <c r="J1" s="46"/>
    </row>
    <row r="2" spans="1:28" ht="15.5" x14ac:dyDescent="0.35">
      <c r="B2" s="5"/>
      <c r="C2" s="13"/>
      <c r="D2" s="13"/>
      <c r="E2" s="13"/>
      <c r="F2" s="5"/>
      <c r="G2" s="13"/>
      <c r="H2" s="13"/>
      <c r="I2" s="13"/>
      <c r="J2" s="5"/>
      <c r="AA2" t="str" cm="1">
        <f t="array" ref="AA2">IFERROR(_xlfn.UNIQUE(_xlfn._xlws.FILTER(J7:J36,J7:J36&lt;&gt;"")),"")</f>
        <v/>
      </c>
      <c r="AB2">
        <f>COUNTA(AA:AA)</f>
        <v>1</v>
      </c>
    </row>
    <row r="3" spans="1:28" ht="15.5" x14ac:dyDescent="0.35">
      <c r="A3" s="47" t="s">
        <v>12</v>
      </c>
      <c r="B3" s="47"/>
      <c r="C3" s="47"/>
      <c r="D3" s="47"/>
      <c r="E3" s="47"/>
      <c r="F3" s="47"/>
      <c r="G3" s="47"/>
      <c r="H3" s="47"/>
      <c r="I3" s="47"/>
      <c r="J3" s="47"/>
    </row>
    <row r="4" spans="1:28" ht="20.25" customHeight="1" x14ac:dyDescent="0.3">
      <c r="A4" s="1" t="s">
        <v>0</v>
      </c>
      <c r="B4" s="4" t="str">
        <f>IF(Jan!B4="","",Jan!B4)</f>
        <v>Your Name</v>
      </c>
      <c r="C4" s="48" t="s">
        <v>23</v>
      </c>
      <c r="D4" s="48"/>
      <c r="E4" s="48"/>
      <c r="F4" s="53">
        <f>Jan!F4</f>
        <v>2024</v>
      </c>
      <c r="G4" s="54"/>
    </row>
    <row r="5" spans="1:28" ht="21" customHeight="1" x14ac:dyDescent="0.4">
      <c r="A5" s="3"/>
      <c r="B5" s="4"/>
      <c r="C5" s="14"/>
      <c r="D5" s="14"/>
      <c r="E5" s="16" t="s">
        <v>7</v>
      </c>
      <c r="F5" s="4"/>
      <c r="G5" s="14"/>
      <c r="H5" s="14"/>
      <c r="I5" s="14"/>
      <c r="J5" s="3" t="s">
        <v>26</v>
      </c>
      <c r="K5" s="1"/>
      <c r="L5" s="1"/>
    </row>
    <row r="6" spans="1:28" s="2" customFormat="1" ht="13.5" thickBot="1" x14ac:dyDescent="0.35">
      <c r="A6" s="9" t="s">
        <v>1</v>
      </c>
      <c r="B6" s="10" t="s">
        <v>2</v>
      </c>
      <c r="C6" s="10" t="s">
        <v>3</v>
      </c>
      <c r="D6" s="10" t="s">
        <v>4</v>
      </c>
      <c r="E6" s="10" t="s">
        <v>140</v>
      </c>
      <c r="F6" s="10" t="s">
        <v>5</v>
      </c>
      <c r="G6" s="10" t="s">
        <v>6</v>
      </c>
      <c r="H6" s="10" t="s">
        <v>143</v>
      </c>
      <c r="I6" s="10" t="s">
        <v>8</v>
      </c>
      <c r="J6" s="11"/>
    </row>
    <row r="7" spans="1:28" x14ac:dyDescent="0.25">
      <c r="A7" s="43" t="str" cm="1">
        <f t="array" ref="A7:A36">IFERROR(
_xlfn.LET(
_xlpm.yr,$F$4,
_xlpm.mn,IF(ISNUMBER($C$4),$C$4,MONTH(1&amp;$C$4)),
_xlpm.first,DATE(_xlpm.yr,_xlpm.mn,1),
_xlpm.daysInMonth,DAY(EOMONTH(_xlpm.first,0)),
TEXT(_xlpm.first+_xlfn.SEQUENCE(_xlpm.daysInMonth)-1,"dddd, mmmm d, yyyy")
),
"")</f>
        <v>Friday, November 1, 2024</v>
      </c>
      <c r="B7" s="38"/>
      <c r="C7" s="39"/>
      <c r="D7" s="39"/>
      <c r="E7" s="39"/>
      <c r="F7" s="39"/>
      <c r="G7" s="39"/>
      <c r="H7" s="39"/>
      <c r="I7" s="39"/>
      <c r="J7" s="40"/>
    </row>
    <row r="8" spans="1:28" x14ac:dyDescent="0.25">
      <c r="A8" s="43" t="str">
        <v>Saturday, November 2, 2024</v>
      </c>
      <c r="B8" s="38"/>
      <c r="C8" s="39"/>
      <c r="D8" s="39"/>
      <c r="E8" s="39"/>
      <c r="F8" s="39"/>
      <c r="G8" s="39"/>
      <c r="H8" s="39"/>
      <c r="I8" s="39"/>
      <c r="J8" s="40"/>
    </row>
    <row r="9" spans="1:28" x14ac:dyDescent="0.25">
      <c r="A9" s="43" t="str">
        <v>Sunday, November 3, 2024</v>
      </c>
      <c r="B9" s="38"/>
      <c r="C9" s="39"/>
      <c r="D9" s="39"/>
      <c r="E9" s="39"/>
      <c r="F9" s="39"/>
      <c r="G9" s="39"/>
      <c r="H9" s="39"/>
      <c r="I9" s="39"/>
      <c r="J9" s="40"/>
    </row>
    <row r="10" spans="1:28" x14ac:dyDescent="0.25">
      <c r="A10" s="43" t="str">
        <v>Monday, November 4, 2024</v>
      </c>
      <c r="B10" s="38"/>
      <c r="C10" s="39"/>
      <c r="D10" s="39"/>
      <c r="E10" s="39"/>
      <c r="F10" s="39"/>
      <c r="G10" s="39"/>
      <c r="H10" s="39"/>
      <c r="I10" s="39"/>
      <c r="J10" s="40"/>
    </row>
    <row r="11" spans="1:28" x14ac:dyDescent="0.25">
      <c r="A11" s="43" t="str">
        <v>Tuesday, November 5, 2024</v>
      </c>
      <c r="B11" s="38"/>
      <c r="C11" s="39"/>
      <c r="D11" s="39"/>
      <c r="E11" s="39"/>
      <c r="F11" s="39"/>
      <c r="G11" s="39"/>
      <c r="H11" s="39"/>
      <c r="I11" s="39"/>
      <c r="J11" s="40"/>
    </row>
    <row r="12" spans="1:28" x14ac:dyDescent="0.25">
      <c r="A12" s="43" t="str">
        <v>Wednesday, November 6, 2024</v>
      </c>
      <c r="B12" s="38"/>
      <c r="C12" s="39"/>
      <c r="D12" s="39"/>
      <c r="E12" s="39"/>
      <c r="F12" s="39"/>
      <c r="G12" s="39"/>
      <c r="H12" s="39"/>
      <c r="I12" s="39"/>
      <c r="J12" s="40"/>
    </row>
    <row r="13" spans="1:28" x14ac:dyDescent="0.25">
      <c r="A13" s="43" t="str">
        <v>Thursday, November 7, 2024</v>
      </c>
      <c r="B13" s="38"/>
      <c r="C13" s="39"/>
      <c r="D13" s="39"/>
      <c r="E13" s="39"/>
      <c r="F13" s="39"/>
      <c r="G13" s="39"/>
      <c r="H13" s="39"/>
      <c r="I13" s="39"/>
      <c r="J13" s="40"/>
    </row>
    <row r="14" spans="1:28" x14ac:dyDescent="0.25">
      <c r="A14" s="43" t="str">
        <v>Friday, November 8, 2024</v>
      </c>
      <c r="B14" s="38"/>
      <c r="C14" s="39"/>
      <c r="D14" s="39"/>
      <c r="E14" s="39"/>
      <c r="F14" s="39"/>
      <c r="G14" s="39"/>
      <c r="H14" s="39"/>
      <c r="I14" s="39"/>
      <c r="J14" s="40"/>
    </row>
    <row r="15" spans="1:28" x14ac:dyDescent="0.25">
      <c r="A15" s="43" t="str">
        <v>Saturday, November 9, 2024</v>
      </c>
      <c r="B15" s="38"/>
      <c r="C15" s="39"/>
      <c r="D15" s="39"/>
      <c r="E15" s="39"/>
      <c r="F15" s="39"/>
      <c r="G15" s="39"/>
      <c r="H15" s="39"/>
      <c r="I15" s="39"/>
      <c r="J15" s="40"/>
    </row>
    <row r="16" spans="1:28" x14ac:dyDescent="0.25">
      <c r="A16" s="43" t="str">
        <v>Sunday, November 10, 2024</v>
      </c>
      <c r="B16" s="38"/>
      <c r="C16" s="39"/>
      <c r="D16" s="39"/>
      <c r="E16" s="39"/>
      <c r="F16" s="39"/>
      <c r="G16" s="39"/>
      <c r="H16" s="39"/>
      <c r="I16" s="39"/>
      <c r="J16" s="40"/>
    </row>
    <row r="17" spans="1:10" x14ac:dyDescent="0.25">
      <c r="A17" s="43" t="str">
        <v>Monday, November 11, 2024</v>
      </c>
      <c r="B17" s="38"/>
      <c r="C17" s="39"/>
      <c r="D17" s="39"/>
      <c r="E17" s="39"/>
      <c r="F17" s="39"/>
      <c r="G17" s="39"/>
      <c r="H17" s="39"/>
      <c r="I17" s="39"/>
      <c r="J17" s="40"/>
    </row>
    <row r="18" spans="1:10" x14ac:dyDescent="0.25">
      <c r="A18" s="43" t="str">
        <v>Tuesday, November 12, 2024</v>
      </c>
      <c r="B18" s="38"/>
      <c r="C18" s="39"/>
      <c r="D18" s="39"/>
      <c r="E18" s="39"/>
      <c r="F18" s="39"/>
      <c r="G18" s="39"/>
      <c r="H18" s="39"/>
      <c r="I18" s="39"/>
      <c r="J18" s="40"/>
    </row>
    <row r="19" spans="1:10" x14ac:dyDescent="0.25">
      <c r="A19" s="43" t="str">
        <v>Wednesday, November 13, 2024</v>
      </c>
      <c r="B19" s="38"/>
      <c r="C19" s="39"/>
      <c r="D19" s="39"/>
      <c r="E19" s="39"/>
      <c r="F19" s="39"/>
      <c r="G19" s="39"/>
      <c r="H19" s="39"/>
      <c r="I19" s="39"/>
      <c r="J19" s="40"/>
    </row>
    <row r="20" spans="1:10" x14ac:dyDescent="0.25">
      <c r="A20" s="43" t="str">
        <v>Thursday, November 14, 2024</v>
      </c>
      <c r="B20" s="38"/>
      <c r="C20" s="39"/>
      <c r="D20" s="39"/>
      <c r="E20" s="39"/>
      <c r="F20" s="39"/>
      <c r="G20" s="39"/>
      <c r="H20" s="39"/>
      <c r="I20" s="39"/>
      <c r="J20" s="40"/>
    </row>
    <row r="21" spans="1:10" x14ac:dyDescent="0.25">
      <c r="A21" s="43" t="str">
        <v>Friday, November 15, 2024</v>
      </c>
      <c r="B21" s="38"/>
      <c r="C21" s="39"/>
      <c r="D21" s="39"/>
      <c r="E21" s="39"/>
      <c r="F21" s="39"/>
      <c r="G21" s="39"/>
      <c r="H21" s="39"/>
      <c r="I21" s="39"/>
      <c r="J21" s="40"/>
    </row>
    <row r="22" spans="1:10" x14ac:dyDescent="0.25">
      <c r="A22" s="43" t="str">
        <v>Saturday, November 16, 2024</v>
      </c>
      <c r="B22" s="38"/>
      <c r="C22" s="39"/>
      <c r="D22" s="39"/>
      <c r="E22" s="39"/>
      <c r="F22" s="39"/>
      <c r="G22" s="39"/>
      <c r="H22" s="39"/>
      <c r="I22" s="39"/>
      <c r="J22" s="40"/>
    </row>
    <row r="23" spans="1:10" x14ac:dyDescent="0.25">
      <c r="A23" s="43" t="str">
        <v>Sunday, November 17, 2024</v>
      </c>
      <c r="B23" s="38"/>
      <c r="C23" s="39"/>
      <c r="D23" s="39"/>
      <c r="E23" s="39"/>
      <c r="F23" s="39"/>
      <c r="G23" s="39"/>
      <c r="H23" s="39"/>
      <c r="I23" s="39"/>
      <c r="J23" s="40"/>
    </row>
    <row r="24" spans="1:10" x14ac:dyDescent="0.25">
      <c r="A24" s="43" t="str">
        <v>Monday, November 18, 2024</v>
      </c>
      <c r="B24" s="38"/>
      <c r="C24" s="39"/>
      <c r="D24" s="39"/>
      <c r="E24" s="39"/>
      <c r="F24" s="39"/>
      <c r="G24" s="39"/>
      <c r="H24" s="39"/>
      <c r="I24" s="39"/>
      <c r="J24" s="40"/>
    </row>
    <row r="25" spans="1:10" x14ac:dyDescent="0.25">
      <c r="A25" s="43" t="str">
        <v>Tuesday, November 19, 2024</v>
      </c>
      <c r="B25" s="38"/>
      <c r="C25" s="39"/>
      <c r="D25" s="39"/>
      <c r="E25" s="39"/>
      <c r="F25" s="39"/>
      <c r="G25" s="39"/>
      <c r="H25" s="39"/>
      <c r="I25" s="39"/>
      <c r="J25" s="40"/>
    </row>
    <row r="26" spans="1:10" x14ac:dyDescent="0.25">
      <c r="A26" s="43" t="str">
        <v>Wednesday, November 20, 2024</v>
      </c>
      <c r="B26" s="38"/>
      <c r="C26" s="39"/>
      <c r="D26" s="39"/>
      <c r="E26" s="39"/>
      <c r="F26" s="39"/>
      <c r="G26" s="39"/>
      <c r="H26" s="39"/>
      <c r="I26" s="39"/>
      <c r="J26" s="40"/>
    </row>
    <row r="27" spans="1:10" x14ac:dyDescent="0.25">
      <c r="A27" s="43" t="str">
        <v>Thursday, November 21, 2024</v>
      </c>
      <c r="B27" s="38"/>
      <c r="C27" s="39"/>
      <c r="D27" s="39"/>
      <c r="E27" s="39"/>
      <c r="F27" s="39"/>
      <c r="G27" s="39"/>
      <c r="H27" s="39"/>
      <c r="I27" s="39"/>
      <c r="J27" s="40"/>
    </row>
    <row r="28" spans="1:10" x14ac:dyDescent="0.25">
      <c r="A28" s="43" t="str">
        <v>Friday, November 22, 2024</v>
      </c>
      <c r="B28" s="38"/>
      <c r="C28" s="39"/>
      <c r="D28" s="39"/>
      <c r="E28" s="39"/>
      <c r="F28" s="39"/>
      <c r="G28" s="39"/>
      <c r="H28" s="39"/>
      <c r="I28" s="39"/>
      <c r="J28" s="40"/>
    </row>
    <row r="29" spans="1:10" x14ac:dyDescent="0.25">
      <c r="A29" s="43" t="str">
        <v>Saturday, November 23, 2024</v>
      </c>
      <c r="B29" s="38"/>
      <c r="C29" s="39"/>
      <c r="D29" s="39"/>
      <c r="E29" s="39"/>
      <c r="F29" s="39"/>
      <c r="G29" s="39"/>
      <c r="H29" s="39"/>
      <c r="I29" s="39"/>
      <c r="J29" s="40"/>
    </row>
    <row r="30" spans="1:10" x14ac:dyDescent="0.25">
      <c r="A30" s="43" t="str">
        <v>Sunday, November 24, 2024</v>
      </c>
      <c r="B30" s="38"/>
      <c r="C30" s="39"/>
      <c r="D30" s="39"/>
      <c r="E30" s="39"/>
      <c r="F30" s="39"/>
      <c r="G30" s="39"/>
      <c r="H30" s="39"/>
      <c r="I30" s="39"/>
      <c r="J30" s="40"/>
    </row>
    <row r="31" spans="1:10" x14ac:dyDescent="0.25">
      <c r="A31" s="43" t="str">
        <v>Monday, November 25, 2024</v>
      </c>
      <c r="B31" s="38"/>
      <c r="C31" s="39"/>
      <c r="D31" s="39"/>
      <c r="E31" s="39"/>
      <c r="F31" s="39"/>
      <c r="G31" s="39"/>
      <c r="H31" s="39"/>
      <c r="I31" s="39"/>
      <c r="J31" s="40"/>
    </row>
    <row r="32" spans="1:10" x14ac:dyDescent="0.25">
      <c r="A32" s="43" t="str">
        <v>Tuesday, November 26, 2024</v>
      </c>
      <c r="B32" s="38"/>
      <c r="C32" s="39"/>
      <c r="D32" s="39"/>
      <c r="E32" s="39"/>
      <c r="F32" s="39"/>
      <c r="G32" s="39"/>
      <c r="H32" s="39"/>
      <c r="I32" s="39"/>
      <c r="J32" s="40"/>
    </row>
    <row r="33" spans="1:10" x14ac:dyDescent="0.25">
      <c r="A33" s="43" t="str">
        <v>Wednesday, November 27, 2024</v>
      </c>
      <c r="B33" s="38"/>
      <c r="C33" s="39"/>
      <c r="D33" s="39"/>
      <c r="E33" s="39"/>
      <c r="F33" s="39"/>
      <c r="G33" s="39"/>
      <c r="H33" s="39"/>
      <c r="I33" s="39"/>
      <c r="J33" s="40"/>
    </row>
    <row r="34" spans="1:10" x14ac:dyDescent="0.25">
      <c r="A34" s="43" t="str">
        <v>Thursday, November 28, 2024</v>
      </c>
      <c r="B34" s="38"/>
      <c r="C34" s="39"/>
      <c r="D34" s="39"/>
      <c r="E34" s="39"/>
      <c r="F34" s="39"/>
      <c r="G34" s="39"/>
      <c r="H34" s="39"/>
      <c r="I34" s="39"/>
      <c r="J34" s="40"/>
    </row>
    <row r="35" spans="1:10" x14ac:dyDescent="0.25">
      <c r="A35" s="43" t="str">
        <v>Friday, November 29, 2024</v>
      </c>
      <c r="B35" s="38"/>
      <c r="C35" s="39"/>
      <c r="D35" s="39"/>
      <c r="E35" s="39"/>
      <c r="F35" s="39"/>
      <c r="G35" s="39"/>
      <c r="H35" s="39"/>
      <c r="I35" s="39"/>
      <c r="J35" s="40"/>
    </row>
    <row r="36" spans="1:10" x14ac:dyDescent="0.25">
      <c r="A36" s="43" t="str">
        <v>Saturday, November 30, 2024</v>
      </c>
      <c r="B36" s="38"/>
      <c r="C36" s="39"/>
      <c r="D36" s="39"/>
      <c r="E36" s="39"/>
      <c r="F36" s="39"/>
      <c r="G36" s="39"/>
      <c r="H36" s="39"/>
      <c r="I36" s="39"/>
      <c r="J36" s="40"/>
    </row>
    <row r="37" spans="1:10" x14ac:dyDescent="0.25">
      <c r="A37" s="25"/>
      <c r="B37" s="27"/>
      <c r="C37" s="26"/>
      <c r="D37" s="26"/>
      <c r="E37" s="26"/>
      <c r="F37" s="26"/>
      <c r="G37" s="26"/>
      <c r="H37" s="26"/>
      <c r="I37" s="26"/>
      <c r="J37" s="26"/>
    </row>
    <row r="38" spans="1:10" ht="13" x14ac:dyDescent="0.3">
      <c r="A38" s="19"/>
      <c r="B38" s="28"/>
      <c r="C38" s="14"/>
      <c r="D38" s="14"/>
      <c r="E38" s="14"/>
      <c r="F38" s="29"/>
      <c r="G38" s="14"/>
      <c r="H38" s="14"/>
      <c r="I38" s="14"/>
      <c r="J38" s="2"/>
    </row>
    <row r="39" spans="1:10" ht="13" x14ac:dyDescent="0.3">
      <c r="A39" s="30"/>
      <c r="B39" s="8" t="str">
        <f>C4&amp;" "&amp;F4&amp;" HOURS"</f>
        <v>November 2024 HOURS</v>
      </c>
      <c r="C39" s="15">
        <f t="shared" ref="C39:I39" si="0">SUM(C7:C38)</f>
        <v>0</v>
      </c>
      <c r="D39" s="7">
        <f t="shared" si="0"/>
        <v>0</v>
      </c>
      <c r="E39" s="15">
        <f t="shared" si="0"/>
        <v>0</v>
      </c>
      <c r="F39" s="7">
        <f t="shared" si="0"/>
        <v>0</v>
      </c>
      <c r="G39" s="15">
        <f t="shared" si="0"/>
        <v>0</v>
      </c>
      <c r="H39" s="7">
        <f t="shared" si="0"/>
        <v>0</v>
      </c>
      <c r="I39" s="7">
        <f t="shared" si="0"/>
        <v>0</v>
      </c>
      <c r="J39" s="24"/>
    </row>
    <row r="43" spans="1:10" x14ac:dyDescent="0.25">
      <c r="A43" t="str">
        <f>IFERROR(IF(A44="","","X"),"")</f>
        <v/>
      </c>
      <c r="F43" s="52" t="str">
        <f>IFERROR(IF(F44="","","X"),"")</f>
        <v/>
      </c>
      <c r="G43" s="52" t="str">
        <f>IFERROR(IF(G44="","","X"),"")</f>
        <v/>
      </c>
      <c r="H43" s="52" t="str">
        <f>IFERROR(IF(H44="","","X"),"")</f>
        <v/>
      </c>
      <c r="I43" s="52" t="str">
        <f>IFERROR(IF(I44="","","X"),"")</f>
        <v/>
      </c>
    </row>
    <row r="44" spans="1:10" x14ac:dyDescent="0.25">
      <c r="A44" s="33" t="str">
        <f>IFERROR(IF(AB2&gt;0,AA2,""),"")</f>
        <v/>
      </c>
      <c r="F44" s="51" t="str">
        <f>IFERROR(IF(AB$2&gt;1,AA3,""),"")</f>
        <v/>
      </c>
      <c r="G44" s="51"/>
      <c r="H44" s="51"/>
      <c r="I44" s="51"/>
    </row>
    <row r="45" spans="1:10" x14ac:dyDescent="0.25">
      <c r="A45" s="33" t="str">
        <f>IFERROR(VLOOKUP(A44,Sheet1!$D$2:$F$52,3,TRUE),"")</f>
        <v/>
      </c>
      <c r="F45" s="51" t="str">
        <f>IFERROR(VLOOKUP(F44,Sheet1!$D$2:$F$52,3,TRUE),"")</f>
        <v/>
      </c>
      <c r="G45" s="51" t="str">
        <f>IFERROR(VLOOKUP(G44,Sheet1!$D$2:$F$52,3,TRUE),"")</f>
        <v/>
      </c>
      <c r="H45" s="51" t="str">
        <f>IFERROR(VLOOKUP(H44,Sheet1!$D$2:$F$52,3,TRUE),"")</f>
        <v/>
      </c>
      <c r="I45" s="51" t="str">
        <f>IFERROR(VLOOKUP(I44,Sheet1!$D$2:$F$52,3,TRUE),"")</f>
        <v/>
      </c>
    </row>
    <row r="46" spans="1:10" x14ac:dyDescent="0.25">
      <c r="A46" t="str">
        <f>IFERROR(VLOOKUP(A44,Sheet1!$D$2:$F$52,2,TRUE),"")</f>
        <v/>
      </c>
      <c r="F46" s="50" t="str">
        <f>IFERROR(VLOOKUP(F44,Sheet1!$D$2:$F$52,2,TRUE),"")</f>
        <v/>
      </c>
      <c r="G46" s="50" t="str">
        <f>IFERROR(VLOOKUP(G44,Sheet1!$D$2:$F$52,2,TRUE),"")</f>
        <v/>
      </c>
      <c r="H46" s="50" t="str">
        <f>IFERROR(VLOOKUP(H44,Sheet1!$D$2:$F$52,2,TRUE),"")</f>
        <v/>
      </c>
      <c r="I46" s="50" t="str">
        <f>IFERROR(VLOOKUP(I44,Sheet1!$D$2:$F$52,2,TRUE),"")</f>
        <v/>
      </c>
    </row>
    <row r="49" spans="1:9" x14ac:dyDescent="0.25">
      <c r="A49" t="str">
        <f>IFERROR(IF(A50="","","X"),"")</f>
        <v/>
      </c>
      <c r="F49" s="50" t="str">
        <f>IFERROR(IF(F50="","","X"),"")</f>
        <v/>
      </c>
      <c r="G49" s="50"/>
      <c r="H49" s="50"/>
      <c r="I49" s="50"/>
    </row>
    <row r="50" spans="1:9" x14ac:dyDescent="0.25">
      <c r="A50" s="33" t="str">
        <f>IFERROR(IF(AB2&gt;2,AA4,""),"")</f>
        <v/>
      </c>
      <c r="F50" s="51" t="str">
        <f>IFERROR(IF(AB2&gt;3,AA5,""),"")</f>
        <v/>
      </c>
      <c r="G50" s="51"/>
      <c r="H50" s="51"/>
      <c r="I50" s="51"/>
    </row>
    <row r="51" spans="1:9" x14ac:dyDescent="0.25">
      <c r="A51" s="33" t="str">
        <f>IFERROR(VLOOKUP(A50,Sheet1!$D$2:$F$52,3,TRUE),"")</f>
        <v/>
      </c>
      <c r="F51" s="51" t="str">
        <f>IFERROR(VLOOKUP(F50,Sheet1!$D$2:$F$52,3,TRUE),"")</f>
        <v/>
      </c>
      <c r="G51" s="51"/>
      <c r="H51" s="51"/>
      <c r="I51" s="51"/>
    </row>
    <row r="52" spans="1:9" x14ac:dyDescent="0.25">
      <c r="A52" t="str">
        <f>IFERROR(VLOOKUP(A50,Sheet1!$D$2:$F$52,2,TRUE),"")</f>
        <v/>
      </c>
      <c r="F52" s="50" t="str">
        <f>IFERROR(VLOOKUP(F50,Sheet1!$D$2:$F$52,2,TRUE),"")</f>
        <v/>
      </c>
      <c r="G52" s="50"/>
      <c r="H52" s="50"/>
      <c r="I52" s="50"/>
    </row>
    <row r="55" spans="1:9" x14ac:dyDescent="0.25">
      <c r="A55" t="str">
        <f>IFERROR(IF(A56="","","X"),"")</f>
        <v/>
      </c>
      <c r="F55" s="50" t="str">
        <f>IFERROR(IF(F56="","","X"),"")</f>
        <v/>
      </c>
      <c r="G55" s="50"/>
      <c r="H55" s="50"/>
      <c r="I55" s="50"/>
    </row>
    <row r="56" spans="1:9" x14ac:dyDescent="0.25">
      <c r="A56" t="str">
        <f>IFERROR(IF(AB2&gt;4,AA6,""),"")</f>
        <v/>
      </c>
      <c r="F56" s="51" t="str">
        <f>IFERROR(IF(AB2&gt;5,AA7,""),"")</f>
        <v/>
      </c>
      <c r="G56" s="51"/>
      <c r="H56" s="51"/>
      <c r="I56" s="51"/>
    </row>
    <row r="57" spans="1:9" x14ac:dyDescent="0.25">
      <c r="A57" t="str">
        <f>IFERROR(VLOOKUP(A56,Sheet1!$D$2:$F$52,3,TRUE),"")</f>
        <v/>
      </c>
      <c r="F57" s="51" t="str">
        <f>IFERROR(VLOOKUP(F56,Sheet1!$D$2:$F$52,3,TRUE),"")</f>
        <v/>
      </c>
      <c r="G57" s="51"/>
      <c r="H57" s="51"/>
      <c r="I57" s="51"/>
    </row>
    <row r="58" spans="1:9" x14ac:dyDescent="0.25">
      <c r="A58" t="str">
        <f>IFERROR(VLOOKUP(A56,Sheet1!$D$2:$F$52,2,TRUE),"")</f>
        <v/>
      </c>
      <c r="F58" s="50" t="str">
        <f>IFERROR(VLOOKUP(F56,Sheet1!$D$2:$F$52,2,TRUE),"")</f>
        <v/>
      </c>
      <c r="G58" s="50"/>
      <c r="H58" s="50"/>
      <c r="I58" s="50"/>
    </row>
  </sheetData>
  <sheetProtection algorithmName="SHA-512" hashValue="Koy4giedj17xpwtDLtA3vysA3TodvxvJx/xOoKIXiOEK+3GbsgfNL70dOCbDM9Qq1czXQxSuYIKbsezRlhBPLA==" saltValue="moSug2HCchblDfzfWKkwJg==" spinCount="100000" sheet="1" objects="1" scenarios="1"/>
  <mergeCells count="17">
    <mergeCell ref="F52:I52"/>
    <mergeCell ref="F55:I55"/>
    <mergeCell ref="F56:I56"/>
    <mergeCell ref="F57:I57"/>
    <mergeCell ref="F58:I58"/>
    <mergeCell ref="F51:I51"/>
    <mergeCell ref="A1:E1"/>
    <mergeCell ref="F1:J1"/>
    <mergeCell ref="A3:J3"/>
    <mergeCell ref="C4:E4"/>
    <mergeCell ref="F4:G4"/>
    <mergeCell ref="F43:I43"/>
    <mergeCell ref="F44:I44"/>
    <mergeCell ref="F45:I45"/>
    <mergeCell ref="F46:I46"/>
    <mergeCell ref="F49:I49"/>
    <mergeCell ref="F50:I50"/>
  </mergeCells>
  <conditionalFormatting sqref="A43:B43">
    <cfRule type="expression" dxfId="11" priority="6" stopIfTrue="1">
      <formula>$A$44&lt;&gt;""</formula>
    </cfRule>
  </conditionalFormatting>
  <conditionalFormatting sqref="A49:B49">
    <cfRule type="expression" dxfId="10" priority="4" stopIfTrue="1">
      <formula>$A$50&lt;&gt;""</formula>
    </cfRule>
  </conditionalFormatting>
  <conditionalFormatting sqref="A55:B55">
    <cfRule type="expression" dxfId="9" priority="2" stopIfTrue="1">
      <formula>$A$56&lt;&gt;""</formula>
    </cfRule>
  </conditionalFormatting>
  <conditionalFormatting sqref="F43:J43">
    <cfRule type="expression" dxfId="8" priority="5" stopIfTrue="1">
      <formula>$F$44&lt;&gt;""</formula>
    </cfRule>
  </conditionalFormatting>
  <conditionalFormatting sqref="F49:J49">
    <cfRule type="expression" dxfId="7" priority="3" stopIfTrue="1">
      <formula>$F$50&lt;&gt;""</formula>
    </cfRule>
  </conditionalFormatting>
  <conditionalFormatting sqref="F55:J55">
    <cfRule type="expression" dxfId="6" priority="1" stopIfTrue="1">
      <formula>$F$56&lt;&gt;""</formula>
    </cfRule>
  </conditionalFormatting>
  <pageMargins left="0.5" right="0.5" top="0.5" bottom="0.5" header="0.5" footer="0.5"/>
  <pageSetup scale="74" orientation="portrait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C162FD2-66FE-4C6E-A7C8-25F2C953B78A}">
          <x14:formula1>
            <xm:f>Sheet1!$D:$D</xm:f>
          </x14:formula1>
          <xm:sqref>J7:J36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EFFC2-AD4D-4B05-8150-2166C2B8EBA7}">
  <sheetPr>
    <pageSetUpPr fitToPage="1"/>
  </sheetPr>
  <dimension ref="A1:AB59"/>
  <sheetViews>
    <sheetView zoomScaleNormal="100" workbookViewId="0">
      <selection activeCell="H6" sqref="H6"/>
    </sheetView>
  </sheetViews>
  <sheetFormatPr defaultColWidth="8.81640625" defaultRowHeight="12.5" x14ac:dyDescent="0.25"/>
  <cols>
    <col min="1" max="1" width="27.54296875" bestFit="1" customWidth="1"/>
    <col min="2" max="2" width="24" customWidth="1"/>
    <col min="3" max="3" width="7.1796875" style="2" customWidth="1"/>
    <col min="4" max="4" width="6.1796875" style="2" customWidth="1"/>
    <col min="5" max="5" width="6.54296875" style="2" customWidth="1"/>
    <col min="6" max="6" width="6.54296875" customWidth="1"/>
    <col min="7" max="8" width="6.81640625" style="2" customWidth="1"/>
    <col min="9" max="9" width="7.453125" style="2" customWidth="1"/>
    <col min="10" max="10" width="32.453125" customWidth="1"/>
    <col min="27" max="27" width="15.1796875" bestFit="1" customWidth="1"/>
  </cols>
  <sheetData>
    <row r="1" spans="1:28" ht="72.75" customHeight="1" thickBot="1" x14ac:dyDescent="0.4">
      <c r="A1" s="44"/>
      <c r="B1" s="44"/>
      <c r="C1" s="44"/>
      <c r="D1" s="44"/>
      <c r="E1" s="44"/>
      <c r="F1" s="45" t="s">
        <v>138</v>
      </c>
      <c r="G1" s="46"/>
      <c r="H1" s="46"/>
      <c r="I1" s="46"/>
      <c r="J1" s="46"/>
    </row>
    <row r="2" spans="1:28" ht="15.5" x14ac:dyDescent="0.35">
      <c r="B2" s="5"/>
      <c r="C2" s="13"/>
      <c r="D2" s="13"/>
      <c r="E2" s="13"/>
      <c r="F2" s="5"/>
      <c r="G2" s="13"/>
      <c r="H2" s="13"/>
      <c r="I2" s="13"/>
      <c r="J2" s="5"/>
      <c r="AA2" t="str" cm="1">
        <f t="array" ref="AA2">IFERROR(_xlfn.UNIQUE(_xlfn._xlws.FILTER(J7:J37,J7:J37&lt;&gt;"")),"")</f>
        <v/>
      </c>
      <c r="AB2">
        <f>COUNTA(AA:AA)</f>
        <v>1</v>
      </c>
    </row>
    <row r="3" spans="1:28" ht="15.5" x14ac:dyDescent="0.35">
      <c r="A3" s="47" t="s">
        <v>12</v>
      </c>
      <c r="B3" s="47"/>
      <c r="C3" s="47"/>
      <c r="D3" s="47"/>
      <c r="E3" s="47"/>
      <c r="F3" s="47"/>
      <c r="G3" s="47"/>
      <c r="H3" s="47"/>
      <c r="I3" s="47"/>
      <c r="J3" s="47"/>
    </row>
    <row r="4" spans="1:28" ht="20.25" customHeight="1" x14ac:dyDescent="0.3">
      <c r="A4" s="1" t="s">
        <v>0</v>
      </c>
      <c r="B4" s="4" t="str">
        <f>IF(Jan!B4="","",Jan!B4)</f>
        <v>Your Name</v>
      </c>
      <c r="C4" s="48" t="s">
        <v>24</v>
      </c>
      <c r="D4" s="48"/>
      <c r="E4" s="48"/>
      <c r="F4" s="53">
        <f>Jan!F4</f>
        <v>2024</v>
      </c>
      <c r="G4" s="54"/>
    </row>
    <row r="5" spans="1:28" ht="21" customHeight="1" x14ac:dyDescent="0.4">
      <c r="A5" s="3"/>
      <c r="B5" s="4"/>
      <c r="C5" s="14"/>
      <c r="D5" s="14"/>
      <c r="E5" s="16" t="s">
        <v>7</v>
      </c>
      <c r="F5" s="4"/>
      <c r="G5" s="14"/>
      <c r="H5" s="14"/>
      <c r="I5" s="14"/>
      <c r="J5" s="3" t="s">
        <v>26</v>
      </c>
      <c r="K5" s="1"/>
      <c r="L5" s="1"/>
    </row>
    <row r="6" spans="1:28" s="2" customFormat="1" ht="13.5" thickBot="1" x14ac:dyDescent="0.35">
      <c r="A6" s="9" t="s">
        <v>1</v>
      </c>
      <c r="B6" s="10" t="s">
        <v>2</v>
      </c>
      <c r="C6" s="10" t="s">
        <v>3</v>
      </c>
      <c r="D6" s="10" t="s">
        <v>4</v>
      </c>
      <c r="E6" s="10" t="s">
        <v>140</v>
      </c>
      <c r="F6" s="10" t="s">
        <v>5</v>
      </c>
      <c r="G6" s="10" t="s">
        <v>6</v>
      </c>
      <c r="H6" s="10" t="s">
        <v>143</v>
      </c>
      <c r="I6" s="10" t="s">
        <v>8</v>
      </c>
      <c r="J6" s="11"/>
    </row>
    <row r="7" spans="1:28" x14ac:dyDescent="0.25">
      <c r="A7" s="43" t="str" cm="1">
        <f t="array" ref="A7:A37">IFERROR(
_xlfn.LET(
_xlpm.yr,$F$4,
_xlpm.mn,IF(ISNUMBER($C$4),$C$4,MONTH(1&amp;$C$4)),
_xlpm.first,DATE(_xlpm.yr,_xlpm.mn,1),
_xlpm.daysInMonth,DAY(EOMONTH(_xlpm.first,0)),
TEXT(_xlpm.first+_xlfn.SEQUENCE(_xlpm.daysInMonth)-1,"dddd, mmmm d, yyyy")
),
"")</f>
        <v>Sunday, December 1, 2024</v>
      </c>
      <c r="B7" s="38"/>
      <c r="C7" s="39"/>
      <c r="D7" s="39"/>
      <c r="E7" s="39"/>
      <c r="F7" s="39"/>
      <c r="G7" s="39"/>
      <c r="H7" s="39"/>
      <c r="I7" s="39"/>
      <c r="J7" s="40"/>
    </row>
    <row r="8" spans="1:28" x14ac:dyDescent="0.25">
      <c r="A8" s="43" t="str">
        <v>Monday, December 2, 2024</v>
      </c>
      <c r="B8" s="38"/>
      <c r="C8" s="39"/>
      <c r="D8" s="39"/>
      <c r="E8" s="39"/>
      <c r="F8" s="39"/>
      <c r="G8" s="39"/>
      <c r="H8" s="39"/>
      <c r="I8" s="39"/>
      <c r="J8" s="40"/>
    </row>
    <row r="9" spans="1:28" x14ac:dyDescent="0.25">
      <c r="A9" s="43" t="str">
        <v>Tuesday, December 3, 2024</v>
      </c>
      <c r="B9" s="38"/>
      <c r="C9" s="39"/>
      <c r="D9" s="39"/>
      <c r="E9" s="39"/>
      <c r="F9" s="39"/>
      <c r="G9" s="39"/>
      <c r="H9" s="39"/>
      <c r="I9" s="39"/>
      <c r="J9" s="40"/>
    </row>
    <row r="10" spans="1:28" x14ac:dyDescent="0.25">
      <c r="A10" s="43" t="str">
        <v>Wednesday, December 4, 2024</v>
      </c>
      <c r="B10" s="38"/>
      <c r="C10" s="39"/>
      <c r="D10" s="39"/>
      <c r="E10" s="39"/>
      <c r="F10" s="39"/>
      <c r="G10" s="39"/>
      <c r="H10" s="39"/>
      <c r="I10" s="39"/>
      <c r="J10" s="40"/>
    </row>
    <row r="11" spans="1:28" x14ac:dyDescent="0.25">
      <c r="A11" s="43" t="str">
        <v>Thursday, December 5, 2024</v>
      </c>
      <c r="B11" s="38"/>
      <c r="C11" s="39"/>
      <c r="D11" s="39"/>
      <c r="E11" s="39"/>
      <c r="F11" s="39"/>
      <c r="G11" s="39"/>
      <c r="H11" s="39"/>
      <c r="I11" s="39"/>
      <c r="J11" s="40"/>
    </row>
    <row r="12" spans="1:28" x14ac:dyDescent="0.25">
      <c r="A12" s="43" t="str">
        <v>Friday, December 6, 2024</v>
      </c>
      <c r="B12" s="38"/>
      <c r="C12" s="39"/>
      <c r="D12" s="39"/>
      <c r="E12" s="39"/>
      <c r="F12" s="39"/>
      <c r="G12" s="39"/>
      <c r="H12" s="39"/>
      <c r="I12" s="39"/>
      <c r="J12" s="40"/>
    </row>
    <row r="13" spans="1:28" x14ac:dyDescent="0.25">
      <c r="A13" s="43" t="str">
        <v>Saturday, December 7, 2024</v>
      </c>
      <c r="B13" s="38"/>
      <c r="C13" s="39"/>
      <c r="D13" s="39"/>
      <c r="E13" s="39"/>
      <c r="F13" s="39"/>
      <c r="G13" s="39"/>
      <c r="H13" s="39"/>
      <c r="I13" s="39"/>
      <c r="J13" s="40"/>
    </row>
    <row r="14" spans="1:28" x14ac:dyDescent="0.25">
      <c r="A14" s="43" t="str">
        <v>Sunday, December 8, 2024</v>
      </c>
      <c r="B14" s="38"/>
      <c r="C14" s="39"/>
      <c r="D14" s="39"/>
      <c r="E14" s="39"/>
      <c r="F14" s="39"/>
      <c r="G14" s="39"/>
      <c r="H14" s="39"/>
      <c r="I14" s="39"/>
      <c r="J14" s="40"/>
    </row>
    <row r="15" spans="1:28" x14ac:dyDescent="0.25">
      <c r="A15" s="43" t="str">
        <v>Monday, December 9, 2024</v>
      </c>
      <c r="B15" s="38"/>
      <c r="C15" s="39"/>
      <c r="D15" s="39"/>
      <c r="E15" s="39"/>
      <c r="F15" s="39"/>
      <c r="G15" s="39"/>
      <c r="H15" s="39"/>
      <c r="I15" s="39"/>
      <c r="J15" s="40"/>
    </row>
    <row r="16" spans="1:28" x14ac:dyDescent="0.25">
      <c r="A16" s="43" t="str">
        <v>Tuesday, December 10, 2024</v>
      </c>
      <c r="B16" s="38"/>
      <c r="C16" s="39"/>
      <c r="D16" s="39"/>
      <c r="E16" s="39"/>
      <c r="F16" s="39"/>
      <c r="G16" s="39"/>
      <c r="H16" s="39"/>
      <c r="I16" s="39"/>
      <c r="J16" s="40"/>
    </row>
    <row r="17" spans="1:10" x14ac:dyDescent="0.25">
      <c r="A17" s="43" t="str">
        <v>Wednesday, December 11, 2024</v>
      </c>
      <c r="B17" s="38"/>
      <c r="C17" s="39"/>
      <c r="D17" s="39"/>
      <c r="E17" s="39"/>
      <c r="F17" s="39"/>
      <c r="G17" s="39"/>
      <c r="H17" s="39"/>
      <c r="I17" s="39"/>
      <c r="J17" s="40"/>
    </row>
    <row r="18" spans="1:10" x14ac:dyDescent="0.25">
      <c r="A18" s="43" t="str">
        <v>Thursday, December 12, 2024</v>
      </c>
      <c r="B18" s="38"/>
      <c r="C18" s="39"/>
      <c r="D18" s="39"/>
      <c r="E18" s="39"/>
      <c r="F18" s="39"/>
      <c r="G18" s="39"/>
      <c r="H18" s="39"/>
      <c r="I18" s="39"/>
      <c r="J18" s="40"/>
    </row>
    <row r="19" spans="1:10" x14ac:dyDescent="0.25">
      <c r="A19" s="43" t="str">
        <v>Friday, December 13, 2024</v>
      </c>
      <c r="B19" s="38"/>
      <c r="C19" s="39"/>
      <c r="D19" s="39"/>
      <c r="E19" s="39"/>
      <c r="F19" s="39"/>
      <c r="G19" s="39"/>
      <c r="H19" s="39"/>
      <c r="I19" s="39"/>
      <c r="J19" s="40"/>
    </row>
    <row r="20" spans="1:10" x14ac:dyDescent="0.25">
      <c r="A20" s="43" t="str">
        <v>Saturday, December 14, 2024</v>
      </c>
      <c r="B20" s="38"/>
      <c r="C20" s="39"/>
      <c r="D20" s="39"/>
      <c r="E20" s="39"/>
      <c r="F20" s="39"/>
      <c r="G20" s="39"/>
      <c r="H20" s="39"/>
      <c r="I20" s="39"/>
      <c r="J20" s="40"/>
    </row>
    <row r="21" spans="1:10" x14ac:dyDescent="0.25">
      <c r="A21" s="43" t="str">
        <v>Sunday, December 15, 2024</v>
      </c>
      <c r="B21" s="38"/>
      <c r="C21" s="39"/>
      <c r="D21" s="39"/>
      <c r="E21" s="39"/>
      <c r="F21" s="39"/>
      <c r="G21" s="39"/>
      <c r="H21" s="39"/>
      <c r="I21" s="39"/>
      <c r="J21" s="40"/>
    </row>
    <row r="22" spans="1:10" x14ac:dyDescent="0.25">
      <c r="A22" s="43" t="str">
        <v>Monday, December 16, 2024</v>
      </c>
      <c r="B22" s="38"/>
      <c r="C22" s="39"/>
      <c r="D22" s="39"/>
      <c r="E22" s="39"/>
      <c r="F22" s="39"/>
      <c r="G22" s="39"/>
      <c r="H22" s="39"/>
      <c r="I22" s="39"/>
      <c r="J22" s="40"/>
    </row>
    <row r="23" spans="1:10" x14ac:dyDescent="0.25">
      <c r="A23" s="43" t="str">
        <v>Tuesday, December 17, 2024</v>
      </c>
      <c r="B23" s="38"/>
      <c r="C23" s="39"/>
      <c r="D23" s="39"/>
      <c r="E23" s="39"/>
      <c r="F23" s="39"/>
      <c r="G23" s="39"/>
      <c r="H23" s="39"/>
      <c r="I23" s="39"/>
      <c r="J23" s="40"/>
    </row>
    <row r="24" spans="1:10" x14ac:dyDescent="0.25">
      <c r="A24" s="43" t="str">
        <v>Wednesday, December 18, 2024</v>
      </c>
      <c r="B24" s="38"/>
      <c r="C24" s="39"/>
      <c r="D24" s="39"/>
      <c r="E24" s="39"/>
      <c r="F24" s="39"/>
      <c r="G24" s="39"/>
      <c r="H24" s="39"/>
      <c r="I24" s="39"/>
      <c r="J24" s="40"/>
    </row>
    <row r="25" spans="1:10" x14ac:dyDescent="0.25">
      <c r="A25" s="43" t="str">
        <v>Thursday, December 19, 2024</v>
      </c>
      <c r="B25" s="38"/>
      <c r="C25" s="39"/>
      <c r="D25" s="39"/>
      <c r="E25" s="39"/>
      <c r="F25" s="39"/>
      <c r="G25" s="39"/>
      <c r="H25" s="39"/>
      <c r="I25" s="39"/>
      <c r="J25" s="40"/>
    </row>
    <row r="26" spans="1:10" x14ac:dyDescent="0.25">
      <c r="A26" s="43" t="str">
        <v>Friday, December 20, 2024</v>
      </c>
      <c r="B26" s="38"/>
      <c r="C26" s="39"/>
      <c r="D26" s="39"/>
      <c r="E26" s="39"/>
      <c r="F26" s="39"/>
      <c r="G26" s="39"/>
      <c r="H26" s="39"/>
      <c r="I26" s="39"/>
      <c r="J26" s="40"/>
    </row>
    <row r="27" spans="1:10" x14ac:dyDescent="0.25">
      <c r="A27" s="43" t="str">
        <v>Saturday, December 21, 2024</v>
      </c>
      <c r="B27" s="38"/>
      <c r="C27" s="39"/>
      <c r="D27" s="39"/>
      <c r="E27" s="39"/>
      <c r="F27" s="39"/>
      <c r="G27" s="39"/>
      <c r="H27" s="39"/>
      <c r="I27" s="39"/>
      <c r="J27" s="40"/>
    </row>
    <row r="28" spans="1:10" x14ac:dyDescent="0.25">
      <c r="A28" s="43" t="str">
        <v>Sunday, December 22, 2024</v>
      </c>
      <c r="B28" s="38"/>
      <c r="C28" s="39"/>
      <c r="D28" s="39"/>
      <c r="E28" s="39"/>
      <c r="F28" s="39"/>
      <c r="G28" s="39"/>
      <c r="H28" s="39"/>
      <c r="I28" s="39"/>
      <c r="J28" s="40"/>
    </row>
    <row r="29" spans="1:10" x14ac:dyDescent="0.25">
      <c r="A29" s="43" t="str">
        <v>Monday, December 23, 2024</v>
      </c>
      <c r="B29" s="38"/>
      <c r="C29" s="39"/>
      <c r="D29" s="39"/>
      <c r="E29" s="39"/>
      <c r="F29" s="39"/>
      <c r="G29" s="39"/>
      <c r="H29" s="39"/>
      <c r="I29" s="39"/>
      <c r="J29" s="40"/>
    </row>
    <row r="30" spans="1:10" x14ac:dyDescent="0.25">
      <c r="A30" s="43" t="str">
        <v>Tuesday, December 24, 2024</v>
      </c>
      <c r="B30" s="38"/>
      <c r="C30" s="39"/>
      <c r="D30" s="39"/>
      <c r="E30" s="39"/>
      <c r="F30" s="39"/>
      <c r="G30" s="39"/>
      <c r="H30" s="39"/>
      <c r="I30" s="39"/>
      <c r="J30" s="40"/>
    </row>
    <row r="31" spans="1:10" x14ac:dyDescent="0.25">
      <c r="A31" s="43" t="str">
        <v>Wednesday, December 25, 2024</v>
      </c>
      <c r="B31" s="38"/>
      <c r="C31" s="39"/>
      <c r="D31" s="39"/>
      <c r="E31" s="39"/>
      <c r="F31" s="39"/>
      <c r="G31" s="39"/>
      <c r="H31" s="39"/>
      <c r="I31" s="39"/>
      <c r="J31" s="40"/>
    </row>
    <row r="32" spans="1:10" x14ac:dyDescent="0.25">
      <c r="A32" s="43" t="str">
        <v>Thursday, December 26, 2024</v>
      </c>
      <c r="B32" s="38"/>
      <c r="C32" s="39"/>
      <c r="D32" s="39"/>
      <c r="E32" s="39"/>
      <c r="F32" s="39"/>
      <c r="G32" s="39"/>
      <c r="H32" s="39"/>
      <c r="I32" s="39"/>
      <c r="J32" s="40"/>
    </row>
    <row r="33" spans="1:10" x14ac:dyDescent="0.25">
      <c r="A33" s="43" t="str">
        <v>Friday, December 27, 2024</v>
      </c>
      <c r="B33" s="38"/>
      <c r="C33" s="39"/>
      <c r="D33" s="39"/>
      <c r="E33" s="39"/>
      <c r="F33" s="39"/>
      <c r="G33" s="39"/>
      <c r="H33" s="39"/>
      <c r="I33" s="39"/>
      <c r="J33" s="40"/>
    </row>
    <row r="34" spans="1:10" x14ac:dyDescent="0.25">
      <c r="A34" s="43" t="str">
        <v>Saturday, December 28, 2024</v>
      </c>
      <c r="B34" s="38"/>
      <c r="C34" s="39"/>
      <c r="D34" s="39"/>
      <c r="E34" s="39"/>
      <c r="F34" s="39"/>
      <c r="G34" s="39"/>
      <c r="H34" s="39"/>
      <c r="I34" s="39"/>
      <c r="J34" s="40"/>
    </row>
    <row r="35" spans="1:10" x14ac:dyDescent="0.25">
      <c r="A35" s="43" t="str">
        <v>Sunday, December 29, 2024</v>
      </c>
      <c r="B35" s="38"/>
      <c r="C35" s="39"/>
      <c r="D35" s="39"/>
      <c r="E35" s="39"/>
      <c r="F35" s="39"/>
      <c r="G35" s="39"/>
      <c r="H35" s="39"/>
      <c r="I35" s="39"/>
      <c r="J35" s="40"/>
    </row>
    <row r="36" spans="1:10" x14ac:dyDescent="0.25">
      <c r="A36" s="43" t="str">
        <v>Monday, December 30, 2024</v>
      </c>
      <c r="B36" s="38"/>
      <c r="C36" s="39"/>
      <c r="D36" s="39"/>
      <c r="E36" s="39"/>
      <c r="F36" s="39"/>
      <c r="G36" s="39"/>
      <c r="H36" s="39"/>
      <c r="I36" s="39"/>
      <c r="J36" s="40"/>
    </row>
    <row r="37" spans="1:10" x14ac:dyDescent="0.25">
      <c r="A37" s="43" t="str">
        <v>Tuesday, December 31, 2024</v>
      </c>
      <c r="B37" s="38"/>
      <c r="C37" s="39"/>
      <c r="D37" s="39"/>
      <c r="E37" s="39"/>
      <c r="F37" s="39"/>
      <c r="G37" s="39"/>
      <c r="H37" s="39"/>
      <c r="I37" s="39"/>
      <c r="J37" s="40"/>
    </row>
    <row r="38" spans="1:10" x14ac:dyDescent="0.25">
      <c r="A38" s="25"/>
      <c r="B38" s="27"/>
      <c r="C38" s="26"/>
      <c r="D38" s="26"/>
      <c r="E38" s="26"/>
      <c r="F38" s="26"/>
      <c r="G38" s="26"/>
      <c r="H38" s="26"/>
      <c r="I38" s="26"/>
      <c r="J38" s="26"/>
    </row>
    <row r="39" spans="1:10" ht="13" x14ac:dyDescent="0.3">
      <c r="A39" s="19"/>
      <c r="B39" s="28"/>
      <c r="C39" s="14"/>
      <c r="D39" s="14"/>
      <c r="E39" s="14"/>
      <c r="F39" s="29"/>
      <c r="G39" s="14"/>
      <c r="H39" s="14"/>
      <c r="I39" s="14"/>
      <c r="J39" s="2"/>
    </row>
    <row r="40" spans="1:10" ht="13" x14ac:dyDescent="0.3">
      <c r="A40" s="30"/>
      <c r="B40" s="8" t="str">
        <f>C4&amp;" "&amp;F4&amp;" HOURS"</f>
        <v>December 2024 HOURS</v>
      </c>
      <c r="C40" s="15">
        <f t="shared" ref="C40:I40" si="0">SUM(C7:C39)</f>
        <v>0</v>
      </c>
      <c r="D40" s="7">
        <f t="shared" si="0"/>
        <v>0</v>
      </c>
      <c r="E40" s="15">
        <f t="shared" si="0"/>
        <v>0</v>
      </c>
      <c r="F40" s="7">
        <f t="shared" si="0"/>
        <v>0</v>
      </c>
      <c r="G40" s="15">
        <f t="shared" si="0"/>
        <v>0</v>
      </c>
      <c r="H40" s="7">
        <f t="shared" si="0"/>
        <v>0</v>
      </c>
      <c r="I40" s="7">
        <f t="shared" si="0"/>
        <v>0</v>
      </c>
      <c r="J40" s="24"/>
    </row>
    <row r="44" spans="1:10" x14ac:dyDescent="0.25">
      <c r="A44" t="str">
        <f>IFERROR(IF(A45="","","X"),"")</f>
        <v/>
      </c>
      <c r="F44" s="52" t="str">
        <f>IFERROR(IF(F45="","","X"),"")</f>
        <v/>
      </c>
      <c r="G44" s="52" t="str">
        <f>IFERROR(IF(G45="","","X"),"")</f>
        <v/>
      </c>
      <c r="H44" s="52" t="str">
        <f>IFERROR(IF(H45="","","X"),"")</f>
        <v/>
      </c>
      <c r="I44" s="52" t="str">
        <f>IFERROR(IF(I45="","","X"),"")</f>
        <v/>
      </c>
    </row>
    <row r="45" spans="1:10" x14ac:dyDescent="0.25">
      <c r="A45" s="33" t="str">
        <f>IFERROR(IF(AB2&gt;0,AA2,""),"")</f>
        <v/>
      </c>
      <c r="F45" s="51" t="str">
        <f>IFERROR(IF(AB$2&gt;1,AA3,""),"")</f>
        <v/>
      </c>
      <c r="G45" s="51"/>
      <c r="H45" s="51"/>
      <c r="I45" s="51"/>
    </row>
    <row r="46" spans="1:10" x14ac:dyDescent="0.25">
      <c r="A46" s="33" t="str">
        <f>IFERROR(VLOOKUP(A45,Sheet1!$D$2:$F$52,3,TRUE),"")</f>
        <v/>
      </c>
      <c r="F46" s="51" t="str">
        <f>IFERROR(VLOOKUP(F45,Sheet1!$D$2:$F$52,3,TRUE),"")</f>
        <v/>
      </c>
      <c r="G46" s="51" t="str">
        <f>IFERROR(VLOOKUP(G45,Sheet1!$D$2:$F$52,3,TRUE),"")</f>
        <v/>
      </c>
      <c r="H46" s="51" t="str">
        <f>IFERROR(VLOOKUP(H45,Sheet1!$D$2:$F$52,3,TRUE),"")</f>
        <v/>
      </c>
      <c r="I46" s="51" t="str">
        <f>IFERROR(VLOOKUP(I45,Sheet1!$D$2:$F$52,3,TRUE),"")</f>
        <v/>
      </c>
    </row>
    <row r="47" spans="1:10" x14ac:dyDescent="0.25">
      <c r="A47" t="str">
        <f>IFERROR(VLOOKUP(A45,Sheet1!$D$2:$F$52,2,TRUE),"")</f>
        <v/>
      </c>
      <c r="F47" s="50" t="str">
        <f>IFERROR(VLOOKUP(F45,Sheet1!$D$2:$F$52,2,TRUE),"")</f>
        <v/>
      </c>
      <c r="G47" s="50" t="str">
        <f>IFERROR(VLOOKUP(G45,Sheet1!$D$2:$F$52,2,TRUE),"")</f>
        <v/>
      </c>
      <c r="H47" s="50" t="str">
        <f>IFERROR(VLOOKUP(H45,Sheet1!$D$2:$F$52,2,TRUE),"")</f>
        <v/>
      </c>
      <c r="I47" s="50" t="str">
        <f>IFERROR(VLOOKUP(I45,Sheet1!$D$2:$F$52,2,TRUE),"")</f>
        <v/>
      </c>
    </row>
    <row r="50" spans="1:9" x14ac:dyDescent="0.25">
      <c r="A50" t="str">
        <f>IFERROR(IF(A51="","","X"),"")</f>
        <v/>
      </c>
      <c r="F50" s="50" t="str">
        <f>IFERROR(IF(F51="","","X"),"")</f>
        <v/>
      </c>
      <c r="G50" s="50"/>
      <c r="H50" s="50"/>
      <c r="I50" s="50"/>
    </row>
    <row r="51" spans="1:9" x14ac:dyDescent="0.25">
      <c r="A51" s="33" t="str">
        <f>IFERROR(IF(AB2&gt;2,AA4,""),"")</f>
        <v/>
      </c>
      <c r="F51" s="51" t="str">
        <f>IFERROR(IF(AB2&gt;3,AA5,""),"")</f>
        <v/>
      </c>
      <c r="G51" s="51"/>
      <c r="H51" s="51"/>
      <c r="I51" s="51"/>
    </row>
    <row r="52" spans="1:9" x14ac:dyDescent="0.25">
      <c r="A52" s="33" t="str">
        <f>IFERROR(VLOOKUP(A51,Sheet1!$D$2:$F$52,3,TRUE),"")</f>
        <v/>
      </c>
      <c r="F52" s="51" t="str">
        <f>IFERROR(VLOOKUP(F51,Sheet1!$D$2:$F$52,3,TRUE),"")</f>
        <v/>
      </c>
      <c r="G52" s="51"/>
      <c r="H52" s="51"/>
      <c r="I52" s="51"/>
    </row>
    <row r="53" spans="1:9" x14ac:dyDescent="0.25">
      <c r="A53" t="str">
        <f>IFERROR(VLOOKUP(A51,Sheet1!$D$2:$F$52,2,TRUE),"")</f>
        <v/>
      </c>
      <c r="F53" s="50" t="str">
        <f>IFERROR(VLOOKUP(F51,Sheet1!$D$2:$F$52,2,TRUE),"")</f>
        <v/>
      </c>
      <c r="G53" s="50"/>
      <c r="H53" s="50"/>
      <c r="I53" s="50"/>
    </row>
    <row r="56" spans="1:9" x14ac:dyDescent="0.25">
      <c r="A56" t="str">
        <f>IFERROR(IF(A57="","","X"),"")</f>
        <v/>
      </c>
      <c r="F56" s="50" t="str">
        <f>IFERROR(IF(F57="","","X"),"")</f>
        <v/>
      </c>
      <c r="G56" s="50"/>
      <c r="H56" s="50"/>
      <c r="I56" s="50"/>
    </row>
    <row r="57" spans="1:9" x14ac:dyDescent="0.25">
      <c r="A57" t="str">
        <f>IFERROR(IF(AB2&gt;4,AA6,""),"")</f>
        <v/>
      </c>
      <c r="F57" s="51" t="str">
        <f>IFERROR(IF(AB2&gt;5,AA7,""),"")</f>
        <v/>
      </c>
      <c r="G57" s="51"/>
      <c r="H57" s="51"/>
      <c r="I57" s="51"/>
    </row>
    <row r="58" spans="1:9" x14ac:dyDescent="0.25">
      <c r="A58" t="str">
        <f>IFERROR(VLOOKUP(A57,Sheet1!$D$2:$F$52,3,TRUE),"")</f>
        <v/>
      </c>
      <c r="F58" s="51" t="str">
        <f>IFERROR(VLOOKUP(F57,Sheet1!$D$2:$F$52,3,TRUE),"")</f>
        <v/>
      </c>
      <c r="G58" s="51"/>
      <c r="H58" s="51"/>
      <c r="I58" s="51"/>
    </row>
    <row r="59" spans="1:9" x14ac:dyDescent="0.25">
      <c r="A59" t="str">
        <f>IFERROR(VLOOKUP(A57,Sheet1!$D$2:$F$52,2,TRUE),"")</f>
        <v/>
      </c>
      <c r="F59" s="50" t="str">
        <f>IFERROR(VLOOKUP(F57,Sheet1!$D$2:$F$52,2,TRUE),"")</f>
        <v/>
      </c>
      <c r="G59" s="50"/>
      <c r="H59" s="50"/>
      <c r="I59" s="50"/>
    </row>
  </sheetData>
  <sheetProtection algorithmName="SHA-512" hashValue="NZDJhycF8WSzkntGbWS4ulV8PhTF7MUbXNtgsNbwLUfNS8PGLzvDi7PdEplK9qZ+WLWurAy7KFWPCX26Ri4yRw==" saltValue="ZsoAGvIInrAKOpoyMjsY+Q==" spinCount="100000" sheet="1" objects="1" scenarios="1"/>
  <mergeCells count="17">
    <mergeCell ref="F53:I53"/>
    <mergeCell ref="F56:I56"/>
    <mergeCell ref="F57:I57"/>
    <mergeCell ref="F58:I58"/>
    <mergeCell ref="F59:I59"/>
    <mergeCell ref="F52:I52"/>
    <mergeCell ref="A1:E1"/>
    <mergeCell ref="F1:J1"/>
    <mergeCell ref="A3:J3"/>
    <mergeCell ref="C4:E4"/>
    <mergeCell ref="F4:G4"/>
    <mergeCell ref="F44:I44"/>
    <mergeCell ref="F45:I45"/>
    <mergeCell ref="F46:I46"/>
    <mergeCell ref="F47:I47"/>
    <mergeCell ref="F50:I50"/>
    <mergeCell ref="F51:I51"/>
  </mergeCells>
  <conditionalFormatting sqref="A44:B44">
    <cfRule type="expression" dxfId="5" priority="6" stopIfTrue="1">
      <formula>$A$45&lt;&gt;""</formula>
    </cfRule>
  </conditionalFormatting>
  <conditionalFormatting sqref="A50:B50">
    <cfRule type="expression" dxfId="4" priority="4" stopIfTrue="1">
      <formula>$A$51&lt;&gt;""</formula>
    </cfRule>
  </conditionalFormatting>
  <conditionalFormatting sqref="A56:B56">
    <cfRule type="expression" dxfId="3" priority="2" stopIfTrue="1">
      <formula>$A$57&lt;&gt;""</formula>
    </cfRule>
  </conditionalFormatting>
  <conditionalFormatting sqref="F44:J44">
    <cfRule type="expression" dxfId="2" priority="5" stopIfTrue="1">
      <formula>$F$45&lt;&gt;""</formula>
    </cfRule>
  </conditionalFormatting>
  <conditionalFormatting sqref="F50:J50">
    <cfRule type="expression" dxfId="1" priority="3" stopIfTrue="1">
      <formula>$F$51&lt;&gt;""</formula>
    </cfRule>
  </conditionalFormatting>
  <conditionalFormatting sqref="F56:J56">
    <cfRule type="expression" dxfId="0" priority="1" stopIfTrue="1">
      <formula>$F$57&lt;&gt;""</formula>
    </cfRule>
  </conditionalFormatting>
  <pageMargins left="0.5" right="0.5" top="0.5" bottom="0.5" header="0.5" footer="0.5"/>
  <pageSetup scale="74" orientation="portrait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2B020A-A99D-4607-9EC0-81A27A604FF4}">
          <x14:formula1>
            <xm:f>Sheet1!$D:$D</xm:f>
          </x14:formula1>
          <xm:sqref>J7:J37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64DEE-FB7B-47ED-A6BD-1B488C19B903}">
  <dimension ref="A1:K26"/>
  <sheetViews>
    <sheetView zoomScale="90" zoomScaleNormal="90" workbookViewId="0">
      <selection activeCell="A24" sqref="A24"/>
    </sheetView>
  </sheetViews>
  <sheetFormatPr defaultColWidth="8.81640625" defaultRowHeight="12.5" x14ac:dyDescent="0.25"/>
  <cols>
    <col min="1" max="1" width="10.81640625" customWidth="1"/>
    <col min="2" max="2" width="25.81640625" customWidth="1"/>
    <col min="3" max="5" width="10.81640625" style="2" customWidth="1"/>
    <col min="6" max="6" width="10.81640625" customWidth="1"/>
    <col min="7" max="9" width="10.81640625" style="2" customWidth="1"/>
  </cols>
  <sheetData>
    <row r="1" spans="1:11" ht="72.75" customHeight="1" thickBot="1" x14ac:dyDescent="0.4">
      <c r="A1" s="44"/>
      <c r="B1" s="44"/>
      <c r="C1" s="44"/>
      <c r="D1" s="44"/>
      <c r="E1" s="44"/>
      <c r="F1" s="45" t="s">
        <v>27</v>
      </c>
      <c r="G1" s="46"/>
      <c r="H1" s="46"/>
      <c r="I1" s="46"/>
      <c r="J1" s="46"/>
    </row>
    <row r="2" spans="1:11" ht="15.5" x14ac:dyDescent="0.35">
      <c r="B2" s="5"/>
      <c r="C2" s="13"/>
      <c r="D2" s="13"/>
      <c r="E2" s="13"/>
      <c r="F2" s="5"/>
      <c r="G2" s="13"/>
      <c r="H2" s="13"/>
      <c r="I2" s="13"/>
    </row>
    <row r="3" spans="1:11" ht="15.5" x14ac:dyDescent="0.35">
      <c r="A3" s="41"/>
      <c r="B3" s="41"/>
      <c r="C3" s="47" t="s">
        <v>141</v>
      </c>
      <c r="D3" s="47"/>
      <c r="E3" s="35">
        <f>Jan!F4</f>
        <v>2024</v>
      </c>
      <c r="F3" s="47" t="s">
        <v>142</v>
      </c>
      <c r="G3" s="47"/>
      <c r="H3" s="41"/>
      <c r="I3" s="41"/>
    </row>
    <row r="4" spans="1:11" ht="20.25" customHeight="1" x14ac:dyDescent="0.3">
      <c r="A4" s="1" t="s">
        <v>0</v>
      </c>
      <c r="B4" s="12" t="str">
        <f>IF(Jan!B4="","",Jan!B4)</f>
        <v>Your Name</v>
      </c>
      <c r="C4" s="55"/>
      <c r="D4" s="55"/>
      <c r="E4" s="55"/>
      <c r="F4" s="55"/>
      <c r="G4" s="55"/>
    </row>
    <row r="5" spans="1:11" ht="21" customHeight="1" x14ac:dyDescent="0.4">
      <c r="A5" s="3"/>
      <c r="B5" s="4"/>
      <c r="C5" s="14"/>
      <c r="D5" s="14"/>
      <c r="E5" s="16" t="s">
        <v>7</v>
      </c>
      <c r="F5" s="4"/>
      <c r="G5" s="14"/>
      <c r="H5" s="14"/>
      <c r="I5" s="14"/>
      <c r="J5" s="1"/>
      <c r="K5" s="1"/>
    </row>
    <row r="6" spans="1:11" s="2" customFormat="1" ht="13" x14ac:dyDescent="0.3">
      <c r="A6" s="22" t="s">
        <v>1</v>
      </c>
      <c r="B6" s="18" t="s">
        <v>25</v>
      </c>
      <c r="C6" s="18" t="s">
        <v>3</v>
      </c>
      <c r="D6" s="18" t="s">
        <v>4</v>
      </c>
      <c r="E6" s="18" t="s">
        <v>140</v>
      </c>
      <c r="F6" s="18" t="s">
        <v>5</v>
      </c>
      <c r="G6" s="18" t="s">
        <v>6</v>
      </c>
      <c r="H6" s="18" t="s">
        <v>143</v>
      </c>
      <c r="I6" s="18" t="s">
        <v>8</v>
      </c>
    </row>
    <row r="7" spans="1:11" x14ac:dyDescent="0.25">
      <c r="A7" s="23" t="s">
        <v>13</v>
      </c>
      <c r="B7" s="7"/>
      <c r="C7" s="7">
        <f>Jan!C40</f>
        <v>0</v>
      </c>
      <c r="D7" s="7">
        <f>Jan!D40</f>
        <v>0</v>
      </c>
      <c r="E7" s="7">
        <f>Jan!E40</f>
        <v>0</v>
      </c>
      <c r="F7" s="7">
        <f>Jan!F40</f>
        <v>0</v>
      </c>
      <c r="G7" s="7">
        <f>Jan!G40</f>
        <v>0</v>
      </c>
      <c r="H7" s="7">
        <f>Jan!H40</f>
        <v>0</v>
      </c>
      <c r="I7" s="7">
        <f>Jan!I40</f>
        <v>0</v>
      </c>
    </row>
    <row r="8" spans="1:11" x14ac:dyDescent="0.25">
      <c r="A8" s="6" t="s">
        <v>14</v>
      </c>
      <c r="B8" s="17"/>
      <c r="C8" s="7">
        <f>Feb!C38</f>
        <v>0</v>
      </c>
      <c r="D8" s="7">
        <f>Feb!D38</f>
        <v>0</v>
      </c>
      <c r="E8" s="7">
        <f>Feb!E38</f>
        <v>0</v>
      </c>
      <c r="F8" s="7">
        <f>Feb!F38</f>
        <v>0</v>
      </c>
      <c r="G8" s="7">
        <f>Feb!G38</f>
        <v>0</v>
      </c>
      <c r="H8" s="7">
        <f>Feb!H38</f>
        <v>0</v>
      </c>
      <c r="I8" s="7">
        <f>Feb!I38</f>
        <v>0</v>
      </c>
    </row>
    <row r="9" spans="1:11" x14ac:dyDescent="0.25">
      <c r="A9" s="6" t="s">
        <v>15</v>
      </c>
      <c r="B9" s="32"/>
      <c r="C9" s="7">
        <f>Mar!C40</f>
        <v>0</v>
      </c>
      <c r="D9" s="7">
        <f>Mar!D40</f>
        <v>0</v>
      </c>
      <c r="E9" s="7">
        <f>Mar!E40</f>
        <v>0</v>
      </c>
      <c r="F9" s="7">
        <f>Mar!F40</f>
        <v>0</v>
      </c>
      <c r="G9" s="7">
        <f>Mar!G40</f>
        <v>0</v>
      </c>
      <c r="H9" s="7">
        <f>Mar!H40</f>
        <v>0</v>
      </c>
      <c r="I9" s="7">
        <f>Mar!I40</f>
        <v>0</v>
      </c>
    </row>
    <row r="10" spans="1:11" x14ac:dyDescent="0.25">
      <c r="A10" s="6" t="s">
        <v>16</v>
      </c>
      <c r="B10" s="32"/>
      <c r="C10" s="7">
        <f>Apr!C39</f>
        <v>0</v>
      </c>
      <c r="D10" s="7">
        <f>Apr!D39</f>
        <v>0</v>
      </c>
      <c r="E10" s="7">
        <f>Apr!E39</f>
        <v>0</v>
      </c>
      <c r="F10" s="7">
        <f>Apr!F39</f>
        <v>0</v>
      </c>
      <c r="G10" s="7">
        <f>Apr!G39</f>
        <v>0</v>
      </c>
      <c r="H10" s="7">
        <f>Apr!H39</f>
        <v>0</v>
      </c>
      <c r="I10" s="7">
        <f>Apr!I39</f>
        <v>0</v>
      </c>
    </row>
    <row r="11" spans="1:11" x14ac:dyDescent="0.25">
      <c r="A11" s="6" t="s">
        <v>17</v>
      </c>
      <c r="B11" s="32"/>
      <c r="C11" s="7">
        <f>May!C40</f>
        <v>0</v>
      </c>
      <c r="D11" s="7">
        <f>May!D40</f>
        <v>0</v>
      </c>
      <c r="E11" s="7">
        <f>May!E40</f>
        <v>0</v>
      </c>
      <c r="F11" s="7">
        <f>May!F40</f>
        <v>0</v>
      </c>
      <c r="G11" s="7">
        <f>May!G40</f>
        <v>0</v>
      </c>
      <c r="H11" s="7">
        <f>May!H40</f>
        <v>0</v>
      </c>
      <c r="I11" s="7">
        <f>May!I40</f>
        <v>0</v>
      </c>
    </row>
    <row r="12" spans="1:11" x14ac:dyDescent="0.25">
      <c r="A12" s="6" t="s">
        <v>18</v>
      </c>
      <c r="B12" s="32"/>
      <c r="C12" s="7">
        <f>Jun!C39</f>
        <v>0</v>
      </c>
      <c r="D12" s="7">
        <f>Jun!D39</f>
        <v>0</v>
      </c>
      <c r="E12" s="7">
        <f>Jun!E39</f>
        <v>0</v>
      </c>
      <c r="F12" s="7">
        <f>Jun!F39</f>
        <v>0</v>
      </c>
      <c r="G12" s="7">
        <f>Jun!G39</f>
        <v>0</v>
      </c>
      <c r="H12" s="7">
        <f>Jun!H39</f>
        <v>0</v>
      </c>
      <c r="I12" s="7">
        <f>Jun!I39</f>
        <v>0</v>
      </c>
    </row>
    <row r="13" spans="1:11" x14ac:dyDescent="0.25">
      <c r="A13" s="6" t="s">
        <v>19</v>
      </c>
      <c r="B13" s="32"/>
      <c r="C13" s="7">
        <f>Jul!C40</f>
        <v>0</v>
      </c>
      <c r="D13" s="7">
        <f>Jul!D40</f>
        <v>0</v>
      </c>
      <c r="E13" s="7">
        <f>Jul!E40</f>
        <v>0</v>
      </c>
      <c r="F13" s="7">
        <f>Jul!F40</f>
        <v>0</v>
      </c>
      <c r="G13" s="7">
        <f>Jul!G40</f>
        <v>0</v>
      </c>
      <c r="H13" s="7">
        <f>Jul!H40</f>
        <v>0</v>
      </c>
      <c r="I13" s="7">
        <f>Jul!I40</f>
        <v>0</v>
      </c>
    </row>
    <row r="14" spans="1:11" x14ac:dyDescent="0.25">
      <c r="A14" s="6" t="s">
        <v>20</v>
      </c>
      <c r="B14" s="32"/>
      <c r="C14" s="7">
        <f>Aug!C40</f>
        <v>0</v>
      </c>
      <c r="D14" s="7">
        <f>Aug!D40</f>
        <v>0</v>
      </c>
      <c r="E14" s="7">
        <f>Aug!E40</f>
        <v>0</v>
      </c>
      <c r="F14" s="7">
        <f>Aug!F40</f>
        <v>0</v>
      </c>
      <c r="G14" s="7">
        <f>Aug!G40</f>
        <v>0</v>
      </c>
      <c r="H14" s="7">
        <f>Aug!H40</f>
        <v>0</v>
      </c>
      <c r="I14" s="7">
        <f>Aug!I40</f>
        <v>0</v>
      </c>
    </row>
    <row r="15" spans="1:11" x14ac:dyDescent="0.25">
      <c r="A15" s="6" t="s">
        <v>21</v>
      </c>
      <c r="B15" s="32"/>
      <c r="C15" s="7">
        <f>Sep!C39</f>
        <v>0</v>
      </c>
      <c r="D15" s="7">
        <f>Sep!D39</f>
        <v>0</v>
      </c>
      <c r="E15" s="7">
        <f>Sep!E39</f>
        <v>0</v>
      </c>
      <c r="F15" s="7">
        <f>Sep!F39</f>
        <v>0</v>
      </c>
      <c r="G15" s="7">
        <f>Sep!G39</f>
        <v>0</v>
      </c>
      <c r="H15" s="7">
        <f>Sep!H39</f>
        <v>0</v>
      </c>
      <c r="I15" s="7">
        <f>Sep!I39</f>
        <v>0</v>
      </c>
    </row>
    <row r="16" spans="1:11" x14ac:dyDescent="0.25">
      <c r="A16" s="6" t="s">
        <v>22</v>
      </c>
      <c r="B16" s="32"/>
      <c r="C16" s="7">
        <f>Oct!C40</f>
        <v>0</v>
      </c>
      <c r="D16" s="7">
        <f>Oct!D40</f>
        <v>0</v>
      </c>
      <c r="E16" s="7">
        <f>Oct!E40</f>
        <v>0</v>
      </c>
      <c r="F16" s="7">
        <f>Oct!F40</f>
        <v>0</v>
      </c>
      <c r="G16" s="7">
        <f>Oct!G40</f>
        <v>0</v>
      </c>
      <c r="H16" s="7">
        <f>Oct!H40</f>
        <v>0</v>
      </c>
      <c r="I16" s="7">
        <f>Oct!I40</f>
        <v>0</v>
      </c>
    </row>
    <row r="17" spans="1:9" x14ac:dyDescent="0.25">
      <c r="A17" s="6" t="s">
        <v>23</v>
      </c>
      <c r="B17" s="32"/>
      <c r="C17" s="7">
        <f>Nov!C39</f>
        <v>0</v>
      </c>
      <c r="D17" s="7">
        <f>Nov!D39</f>
        <v>0</v>
      </c>
      <c r="E17" s="7">
        <f>Nov!E39</f>
        <v>0</v>
      </c>
      <c r="F17" s="7">
        <f>Nov!F39</f>
        <v>0</v>
      </c>
      <c r="G17" s="7">
        <f>Nov!G39</f>
        <v>0</v>
      </c>
      <c r="H17" s="7">
        <f>Nov!H39</f>
        <v>0</v>
      </c>
      <c r="I17" s="7">
        <f>Nov!I39</f>
        <v>0</v>
      </c>
    </row>
    <row r="18" spans="1:9" x14ac:dyDescent="0.25">
      <c r="A18" s="20" t="s">
        <v>24</v>
      </c>
      <c r="B18" s="32"/>
      <c r="C18" s="7">
        <f>Dec!C40</f>
        <v>0</v>
      </c>
      <c r="D18" s="7">
        <f>Dec!D40</f>
        <v>0</v>
      </c>
      <c r="E18" s="7">
        <f>Dec!E40</f>
        <v>0</v>
      </c>
      <c r="F18" s="7">
        <f>Dec!F40</f>
        <v>0</v>
      </c>
      <c r="G18" s="7">
        <f>Dec!G40</f>
        <v>0</v>
      </c>
      <c r="H18" s="7">
        <f>Dec!H40</f>
        <v>0</v>
      </c>
      <c r="I18" s="7">
        <f>Dec!I40</f>
        <v>0</v>
      </c>
    </row>
    <row r="19" spans="1:9" ht="13" thickBot="1" x14ac:dyDescent="0.3">
      <c r="A19" s="25"/>
      <c r="B19" s="27"/>
      <c r="F19" s="2"/>
    </row>
    <row r="20" spans="1:9" s="1" customFormat="1" ht="13.5" thickBot="1" x14ac:dyDescent="0.35">
      <c r="A20" s="31"/>
      <c r="B20" s="42" t="str">
        <f>E3&amp;" TOTAL HOURS"</f>
        <v>2024 TOTAL HOURS</v>
      </c>
      <c r="C20" s="21">
        <f t="shared" ref="C20:I20" si="0">SUM(C7:C18)</f>
        <v>0</v>
      </c>
      <c r="D20" s="21">
        <f t="shared" si="0"/>
        <v>0</v>
      </c>
      <c r="E20" s="21">
        <f t="shared" si="0"/>
        <v>0</v>
      </c>
      <c r="F20" s="21">
        <f t="shared" si="0"/>
        <v>0</v>
      </c>
      <c r="G20" s="21">
        <f t="shared" si="0"/>
        <v>0</v>
      </c>
      <c r="H20" s="21">
        <f t="shared" si="0"/>
        <v>0</v>
      </c>
      <c r="I20" s="21">
        <f t="shared" si="0"/>
        <v>0</v>
      </c>
    </row>
    <row r="23" spans="1:9" x14ac:dyDescent="0.25">
      <c r="A23" s="4" t="s">
        <v>9</v>
      </c>
      <c r="B23" s="4"/>
    </row>
    <row r="24" spans="1:9" x14ac:dyDescent="0.25">
      <c r="A24" s="37" t="s">
        <v>81</v>
      </c>
      <c r="B24" s="36"/>
    </row>
    <row r="25" spans="1:9" x14ac:dyDescent="0.25">
      <c r="A25" s="37" t="s">
        <v>10</v>
      </c>
      <c r="B25" s="36"/>
    </row>
    <row r="26" spans="1:9" x14ac:dyDescent="0.25">
      <c r="A26" s="36" t="s">
        <v>11</v>
      </c>
      <c r="B26" s="36"/>
    </row>
  </sheetData>
  <sheetProtection algorithmName="SHA-512" hashValue="zD+SCATgROHJrx4UEMDeja29FJ5rPlNbPdWFaujDvRuz7kAo5yeUXYOPsp4O2ZSUcuztAcO4W0/sdjviL6kDIA==" saltValue="3jBFbXWC4JGiBdxwFOtKUA==" spinCount="100000" sheet="1" objects="1" scenarios="1"/>
  <mergeCells count="5">
    <mergeCell ref="A1:E1"/>
    <mergeCell ref="C4:G4"/>
    <mergeCell ref="F1:J1"/>
    <mergeCell ref="C3:D3"/>
    <mergeCell ref="F3:G3"/>
  </mergeCells>
  <phoneticPr fontId="5" type="noConversion"/>
  <pageMargins left="0.7" right="0.7" top="0.75" bottom="0.75" header="0.3" footer="0.3"/>
  <pageSetup scale="7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13</vt:i4>
      </vt:variant>
    </vt:vector>
  </HeadingPairs>
  <TitlesOfParts>
    <vt:vector size="27" baseType="lpstr">
      <vt:lpstr>Sheet1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Annual Summary</vt:lpstr>
      <vt:lpstr>'Annual Summary'!Print_Area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</vt:vector>
  </TitlesOfParts>
  <Company>Coast to Coast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Authorized Customer</dc:creator>
  <cp:lastModifiedBy>Lawrence Elfstrom</cp:lastModifiedBy>
  <cp:lastPrinted>2025-05-20T17:10:58Z</cp:lastPrinted>
  <dcterms:created xsi:type="dcterms:W3CDTF">2008-04-04T15:04:27Z</dcterms:created>
  <dcterms:modified xsi:type="dcterms:W3CDTF">2025-09-05T19:46:08Z</dcterms:modified>
</cp:coreProperties>
</file>